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4654D4CB-CF56-4EF2-9BF0-E41E56D262D5}" xr6:coauthVersionLast="47" xr6:coauthVersionMax="47" xr10:uidLastSave="{00000000-0000-0000-0000-000000000000}"/>
  <bookViews>
    <workbookView xWindow="-120" yWindow="-120" windowWidth="20730" windowHeight="11160" tabRatio="951" firstSheet="31" activeTab="37" xr2:uid="{00000000-000D-0000-FFFF-FFFF00000000}"/>
  </bookViews>
  <sheets>
    <sheet name="375-ADA" sheetId="27" r:id="rId1"/>
    <sheet name="807-ACSA" sheetId="26" r:id="rId2"/>
    <sheet name="374-ABIGAIL" sheetId="25" r:id="rId3"/>
    <sheet name="557-BEATRIZ" sheetId="14" r:id="rId4"/>
    <sheet name="378-CHLOE" sheetId="23" r:id="rId5"/>
    <sheet name="615-CHARLOTTE" sheetId="47" r:id="rId6"/>
    <sheet name="345-CECILIA" sheetId="12" r:id="rId7"/>
    <sheet name="343-DANI" sheetId="11" r:id="rId8"/>
    <sheet name="430-DIANA" sheetId="54" r:id="rId9"/>
    <sheet name="558-ESTER" sheetId="15" r:id="rId10"/>
    <sheet name="641-ELISAMA" sheetId="30" r:id="rId11"/>
    <sheet name="390-FRANCIS-NOEMI" sheetId="34" r:id="rId12"/>
    <sheet name="610 GLAMOUR" sheetId="44" r:id="rId13"/>
    <sheet name="300-HELOISA" sheetId="21" r:id="rId14"/>
    <sheet name="640-HANANI" sheetId="35" r:id="rId15"/>
    <sheet name="400-ISABEL" sheetId="46" r:id="rId16"/>
    <sheet name="377-LIS" sheetId="37" r:id="rId17"/>
    <sheet name="346-LIA" sheetId="13" r:id="rId18"/>
    <sheet name="376-MARIAH" sheetId="38" r:id="rId19"/>
    <sheet name="372-MARTA" sheetId="18" r:id="rId20"/>
    <sheet name="388-MAITÊ" sheetId="56" r:id="rId21"/>
    <sheet name="373-MANUELA" sheetId="19" r:id="rId22"/>
    <sheet name="383-CLINIC" sheetId="57" r:id="rId23"/>
    <sheet name="559-NOAH" sheetId="2" r:id="rId24"/>
    <sheet name="391-RUTE" sheetId="16" r:id="rId25"/>
    <sheet name="605-STYLE" sheetId="45" r:id="rId26"/>
    <sheet name="342-SARAH" sheetId="10" r:id="rId27"/>
    <sheet name="389-THAMAR" sheetId="40" r:id="rId28"/>
    <sheet name="644-BENJAMIN" sheetId="28" r:id="rId29"/>
    <sheet name="340-BERNARDO" sheetId="29" r:id="rId30"/>
    <sheet name="341-CALEB" sheetId="31" r:id="rId31"/>
    <sheet name="643-HEITOR" sheetId="36" r:id="rId32"/>
    <sheet name="349-ISAC" sheetId="3" r:id="rId33"/>
    <sheet name="371-MANOEL" sheetId="20" r:id="rId34"/>
    <sheet name="522-MACACAO" sheetId="9" r:id="rId35"/>
    <sheet name="800-BENICIO" sheetId="49" r:id="rId36"/>
    <sheet name="700-CLARA" sheetId="50" r:id="rId37"/>
    <sheet name="080-SCRUB LOREN" sheetId="52" r:id="rId38"/>
    <sheet name="090- SCRUB LORENZO" sheetId="53" r:id="rId39"/>
    <sheet name="370-PAULO" sheetId="24" r:id="rId40"/>
    <sheet name="991-SAMUEL" sheetId="22" r:id="rId41"/>
    <sheet name="065-SCRUB CONFY" sheetId="8" r:id="rId42"/>
    <sheet name="060-SCRUB" sheetId="39" r:id="rId43"/>
    <sheet name="avental" sheetId="43" r:id="rId44"/>
    <sheet name="355-DOLMA" sheetId="7" r:id="rId45"/>
    <sheet name="GORRO" sheetId="33" r:id="rId46"/>
    <sheet name="GORRO SHINE" sheetId="55" r:id="rId47"/>
    <sheet name="TURBANTE" sheetId="32" r:id="rId48"/>
    <sheet name="TOUCA-ROBE" sheetId="41" r:id="rId49"/>
    <sheet name="guardanapo HOme" sheetId="48" r:id="rId5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6" i="52" l="1"/>
  <c r="K15" i="52"/>
  <c r="K13" i="52"/>
  <c r="K12" i="52"/>
  <c r="K11" i="52"/>
  <c r="K10" i="52"/>
  <c r="K9" i="52"/>
  <c r="K8" i="52"/>
  <c r="K7" i="52"/>
  <c r="K6" i="52"/>
  <c r="K5" i="52"/>
  <c r="K4" i="52"/>
  <c r="M16" i="37"/>
  <c r="M10" i="37"/>
  <c r="M9" i="37"/>
  <c r="M8" i="37"/>
  <c r="M7" i="37"/>
  <c r="M6" i="37"/>
  <c r="M5" i="37"/>
  <c r="M4" i="37"/>
  <c r="E34" i="57"/>
  <c r="K10" i="57"/>
  <c r="E10" i="57"/>
  <c r="E41" i="57"/>
  <c r="E35" i="57"/>
  <c r="E33" i="57"/>
  <c r="E32" i="57"/>
  <c r="E31" i="57"/>
  <c r="E30" i="57"/>
  <c r="E29" i="57"/>
  <c r="E28" i="57"/>
  <c r="E27" i="57"/>
  <c r="K17" i="57"/>
  <c r="E17" i="57"/>
  <c r="E11" i="57"/>
  <c r="K9" i="57"/>
  <c r="E9" i="57"/>
  <c r="K8" i="57"/>
  <c r="E8" i="57"/>
  <c r="K7" i="57"/>
  <c r="E7" i="57"/>
  <c r="K6" i="57"/>
  <c r="E6" i="57"/>
  <c r="K5" i="57"/>
  <c r="E5" i="57"/>
  <c r="K4" i="57"/>
  <c r="E4" i="57"/>
  <c r="E16" i="56"/>
  <c r="E17" i="56" s="1"/>
  <c r="E18" i="56" s="1"/>
  <c r="E19" i="56" s="1"/>
  <c r="E11" i="56"/>
  <c r="E10" i="56"/>
  <c r="E9" i="56"/>
  <c r="E8" i="56"/>
  <c r="E7" i="56"/>
  <c r="E6" i="56"/>
  <c r="E5" i="56"/>
  <c r="E4" i="56"/>
  <c r="K14" i="55"/>
  <c r="K16" i="55" s="1"/>
  <c r="K9" i="55"/>
  <c r="K8" i="55"/>
  <c r="K7" i="55"/>
  <c r="K6" i="55"/>
  <c r="K5" i="55"/>
  <c r="K11" i="55" s="1"/>
  <c r="E5" i="55"/>
  <c r="E14" i="55"/>
  <c r="E16" i="55" s="1"/>
  <c r="E9" i="55"/>
  <c r="E8" i="55"/>
  <c r="E7" i="55"/>
  <c r="E6" i="55"/>
  <c r="E6" i="54"/>
  <c r="E5" i="54"/>
  <c r="E16" i="54"/>
  <c r="E14" i="54"/>
  <c r="E12" i="54"/>
  <c r="E11" i="54"/>
  <c r="E10" i="54"/>
  <c r="E9" i="54"/>
  <c r="E8" i="54"/>
  <c r="E7" i="54"/>
  <c r="E4" i="54"/>
  <c r="K36" i="33"/>
  <c r="K38" i="33" s="1"/>
  <c r="K33" i="33"/>
  <c r="K31" i="33"/>
  <c r="K30" i="33"/>
  <c r="K29" i="33"/>
  <c r="K28" i="33"/>
  <c r="K13" i="33"/>
  <c r="K15" i="33" s="1"/>
  <c r="K8" i="33"/>
  <c r="K7" i="33"/>
  <c r="K6" i="33"/>
  <c r="K5" i="33"/>
  <c r="K10" i="33" s="1"/>
  <c r="E5" i="39"/>
  <c r="E5" i="53"/>
  <c r="E5" i="52"/>
  <c r="E16" i="53"/>
  <c r="E15" i="53"/>
  <c r="E12" i="53"/>
  <c r="E10" i="53"/>
  <c r="E9" i="53"/>
  <c r="E8" i="53"/>
  <c r="E7" i="53"/>
  <c r="E6" i="53"/>
  <c r="E4" i="53"/>
  <c r="E15" i="52"/>
  <c r="E13" i="52"/>
  <c r="E16" i="52" s="1"/>
  <c r="E12" i="52"/>
  <c r="E10" i="52"/>
  <c r="E9" i="52"/>
  <c r="E8" i="52"/>
  <c r="E7" i="52"/>
  <c r="E6" i="52"/>
  <c r="E4" i="52"/>
  <c r="E15" i="50"/>
  <c r="E14" i="50"/>
  <c r="E16" i="50" s="1"/>
  <c r="E13" i="50"/>
  <c r="E10" i="50"/>
  <c r="E9" i="50"/>
  <c r="E8" i="50"/>
  <c r="E7" i="50"/>
  <c r="E6" i="50"/>
  <c r="E5" i="50"/>
  <c r="E4" i="50"/>
  <c r="E15" i="49"/>
  <c r="E14" i="49"/>
  <c r="E13" i="49"/>
  <c r="E10" i="49"/>
  <c r="E9" i="49"/>
  <c r="E8" i="49"/>
  <c r="E7" i="49"/>
  <c r="E6" i="49"/>
  <c r="E5" i="49"/>
  <c r="E4" i="49"/>
  <c r="H28" i="48"/>
  <c r="B28" i="48"/>
  <c r="H5" i="48"/>
  <c r="K5" i="48"/>
  <c r="K36" i="48"/>
  <c r="K35" i="48"/>
  <c r="K38" i="48" s="1"/>
  <c r="K30" i="48"/>
  <c r="K29" i="48"/>
  <c r="K28" i="48"/>
  <c r="K33" i="48" s="1"/>
  <c r="E36" i="48"/>
  <c r="E35" i="48"/>
  <c r="E38" i="48" s="1"/>
  <c r="E30" i="48"/>
  <c r="E29" i="48"/>
  <c r="E28" i="48"/>
  <c r="E33" i="48" s="1"/>
  <c r="K13" i="48"/>
  <c r="K12" i="48"/>
  <c r="K15" i="48" s="1"/>
  <c r="K7" i="48"/>
  <c r="K6" i="48"/>
  <c r="E7" i="48"/>
  <c r="E12" i="48"/>
  <c r="E5" i="48"/>
  <c r="E6" i="48"/>
  <c r="E10" i="48"/>
  <c r="E13" i="48"/>
  <c r="J30" i="41"/>
  <c r="K37" i="41"/>
  <c r="K39" i="41" s="1"/>
  <c r="K33" i="41"/>
  <c r="K32" i="41"/>
  <c r="K31" i="41"/>
  <c r="K30" i="41"/>
  <c r="K29" i="41"/>
  <c r="K28" i="41"/>
  <c r="K34" i="41" s="1"/>
  <c r="E15" i="47"/>
  <c r="E16" i="47"/>
  <c r="E13" i="47"/>
  <c r="E10" i="47"/>
  <c r="E9" i="47"/>
  <c r="E8" i="47"/>
  <c r="E7" i="47"/>
  <c r="E6" i="47"/>
  <c r="E5" i="47"/>
  <c r="E4" i="47"/>
  <c r="E11" i="47" s="1"/>
  <c r="E33" i="41"/>
  <c r="E28" i="41"/>
  <c r="E37" i="41"/>
  <c r="E39" i="41" s="1"/>
  <c r="E32" i="41"/>
  <c r="E31" i="41"/>
  <c r="E30" i="41"/>
  <c r="E29" i="41"/>
  <c r="K17" i="52" l="1"/>
  <c r="K18" i="52"/>
  <c r="K19" i="52" s="1"/>
  <c r="M11" i="37"/>
  <c r="M17" i="37" s="1"/>
  <c r="M18" i="37" s="1"/>
  <c r="M19" i="37" s="1"/>
  <c r="E36" i="57"/>
  <c r="E42" i="57" s="1"/>
  <c r="E43" i="57" s="1"/>
  <c r="E44" i="57" s="1"/>
  <c r="E12" i="57"/>
  <c r="E18" i="57" s="1"/>
  <c r="E19" i="57" s="1"/>
  <c r="E20" i="57" s="1"/>
  <c r="K12" i="57"/>
  <c r="K18" i="57"/>
  <c r="K19" i="57" s="1"/>
  <c r="K20" i="57" s="1"/>
  <c r="K17" i="55"/>
  <c r="K18" i="55" s="1"/>
  <c r="K19" i="55" s="1"/>
  <c r="E11" i="55"/>
  <c r="E17" i="55" s="1"/>
  <c r="E18" i="55" s="1"/>
  <c r="E19" i="55" s="1"/>
  <c r="E13" i="54"/>
  <c r="E19" i="54" s="1"/>
  <c r="E20" i="54" s="1"/>
  <c r="E21" i="54" s="1"/>
  <c r="K39" i="33"/>
  <c r="K40" i="33" s="1"/>
  <c r="K41" i="33" s="1"/>
  <c r="K16" i="33"/>
  <c r="K17" i="33" s="1"/>
  <c r="K18" i="33" s="1"/>
  <c r="E11" i="53"/>
  <c r="E17" i="53" s="1"/>
  <c r="E18" i="53" s="1"/>
  <c r="E19" i="53" s="1"/>
  <c r="E16" i="49"/>
  <c r="E11" i="49"/>
  <c r="E11" i="50"/>
  <c r="E11" i="52"/>
  <c r="E17" i="52"/>
  <c r="E18" i="52" s="1"/>
  <c r="E19" i="52" s="1"/>
  <c r="E17" i="50"/>
  <c r="E18" i="50" s="1"/>
  <c r="E19" i="50" s="1"/>
  <c r="E17" i="49"/>
  <c r="E18" i="49" s="1"/>
  <c r="E19" i="49" s="1"/>
  <c r="K10" i="48"/>
  <c r="K16" i="48" s="1"/>
  <c r="K17" i="48" s="1"/>
  <c r="K18" i="48" s="1"/>
  <c r="K39" i="48"/>
  <c r="K40" i="48" s="1"/>
  <c r="K41" i="48" s="1"/>
  <c r="E39" i="48"/>
  <c r="E40" i="48" s="1"/>
  <c r="E41" i="48" s="1"/>
  <c r="E15" i="48"/>
  <c r="E16" i="48"/>
  <c r="E17" i="48" s="1"/>
  <c r="E18" i="48" s="1"/>
  <c r="K40" i="41"/>
  <c r="K41" i="41" s="1"/>
  <c r="K42" i="41" s="1"/>
  <c r="E17" i="47"/>
  <c r="E18" i="47" s="1"/>
  <c r="E19" i="47" s="1"/>
  <c r="E34" i="41"/>
  <c r="E40" i="41" s="1"/>
  <c r="E41" i="41" s="1"/>
  <c r="E42" i="41" s="1"/>
  <c r="E14" i="44"/>
  <c r="E11" i="44"/>
  <c r="E9" i="44"/>
  <c r="E8" i="44"/>
  <c r="E7" i="44"/>
  <c r="E6" i="44"/>
  <c r="E5" i="44"/>
  <c r="E4" i="44"/>
  <c r="E14" i="45"/>
  <c r="E11" i="45"/>
  <c r="E15" i="45" s="1"/>
  <c r="E9" i="45"/>
  <c r="E8" i="45"/>
  <c r="E7" i="45"/>
  <c r="E6" i="45"/>
  <c r="E5" i="45"/>
  <c r="E4" i="45"/>
  <c r="E4" i="46"/>
  <c r="E5" i="46"/>
  <c r="E6" i="46"/>
  <c r="E7" i="46"/>
  <c r="E8" i="46"/>
  <c r="E9" i="46"/>
  <c r="E10" i="46"/>
  <c r="E13" i="46"/>
  <c r="E15" i="46"/>
  <c r="E16" i="46"/>
  <c r="E13" i="43"/>
  <c r="E15" i="43" s="1"/>
  <c r="E8" i="43"/>
  <c r="E7" i="43"/>
  <c r="E6" i="43"/>
  <c r="E5" i="43"/>
  <c r="E10" i="43" s="1"/>
  <c r="E15" i="44" l="1"/>
  <c r="E10" i="44"/>
  <c r="E16" i="44" s="1"/>
  <c r="E10" i="45"/>
  <c r="E16" i="45" s="1"/>
  <c r="E17" i="45" s="1"/>
  <c r="E18" i="45" s="1"/>
  <c r="E11" i="46"/>
  <c r="E17" i="46" s="1"/>
  <c r="E16" i="43"/>
  <c r="E17" i="43" s="1"/>
  <c r="E18" i="43" s="1"/>
  <c r="E57" i="7"/>
  <c r="E59" i="7" s="1"/>
  <c r="E53" i="7"/>
  <c r="E52" i="7"/>
  <c r="E51" i="7"/>
  <c r="E50" i="7"/>
  <c r="E49" i="7"/>
  <c r="E48" i="7"/>
  <c r="E47" i="7"/>
  <c r="E17" i="44" l="1"/>
  <c r="E18" i="44" s="1"/>
  <c r="E18" i="46"/>
  <c r="E19" i="46" s="1"/>
  <c r="E54" i="7"/>
  <c r="E60" i="7" s="1"/>
  <c r="E61" i="7" s="1"/>
  <c r="E62" i="7" s="1"/>
  <c r="D28" i="33"/>
  <c r="D27" i="39"/>
  <c r="E6" i="39"/>
  <c r="D27" i="20"/>
  <c r="D28" i="19"/>
  <c r="K17" i="20" l="1"/>
  <c r="K11" i="20"/>
  <c r="K9" i="20"/>
  <c r="K8" i="20"/>
  <c r="K7" i="20"/>
  <c r="K6" i="20"/>
  <c r="K5" i="20"/>
  <c r="K4" i="20"/>
  <c r="K17" i="19"/>
  <c r="K11" i="19"/>
  <c r="K9" i="19"/>
  <c r="K8" i="19"/>
  <c r="K7" i="19"/>
  <c r="K6" i="19"/>
  <c r="K5" i="19"/>
  <c r="K4" i="19"/>
  <c r="K12" i="20" l="1"/>
  <c r="K18" i="20" s="1"/>
  <c r="K19" i="20" s="1"/>
  <c r="K20" i="20" s="1"/>
  <c r="K12" i="19"/>
  <c r="K18" i="19"/>
  <c r="K19" i="19" s="1"/>
  <c r="K20" i="19" s="1"/>
  <c r="E39" i="33"/>
  <c r="E37" i="33"/>
  <c r="E32" i="33"/>
  <c r="E31" i="33"/>
  <c r="E30" i="33"/>
  <c r="E29" i="33"/>
  <c r="E27" i="39"/>
  <c r="E38" i="39"/>
  <c r="E36" i="39"/>
  <c r="E35" i="39"/>
  <c r="E33" i="39"/>
  <c r="E32" i="39"/>
  <c r="E31" i="39"/>
  <c r="E30" i="39"/>
  <c r="E29" i="39"/>
  <c r="E28" i="39"/>
  <c r="E26" i="39"/>
  <c r="E28" i="23"/>
  <c r="E39" i="23"/>
  <c r="E41" i="23" s="1"/>
  <c r="E35" i="23"/>
  <c r="E33" i="23"/>
  <c r="E32" i="23"/>
  <c r="E31" i="23"/>
  <c r="E30" i="23"/>
  <c r="E29" i="23"/>
  <c r="E27" i="23"/>
  <c r="E28" i="19"/>
  <c r="E41" i="19"/>
  <c r="E35" i="19"/>
  <c r="E33" i="19"/>
  <c r="E32" i="19"/>
  <c r="E31" i="19"/>
  <c r="E30" i="19"/>
  <c r="E29" i="19"/>
  <c r="E27" i="19"/>
  <c r="E27" i="20"/>
  <c r="E38" i="20"/>
  <c r="E40" i="20" s="1"/>
  <c r="E34" i="20"/>
  <c r="E32" i="20"/>
  <c r="E31" i="20"/>
  <c r="E30" i="20"/>
  <c r="E29" i="20"/>
  <c r="E28" i="20"/>
  <c r="E26" i="20"/>
  <c r="E5" i="24"/>
  <c r="E35" i="34"/>
  <c r="E32" i="34"/>
  <c r="K11" i="34"/>
  <c r="K8" i="34"/>
  <c r="E10" i="34"/>
  <c r="K10" i="34"/>
  <c r="E7" i="34"/>
  <c r="K11" i="30"/>
  <c r="K8" i="30"/>
  <c r="E10" i="30"/>
  <c r="E7" i="30"/>
  <c r="K10" i="30"/>
  <c r="E7" i="41"/>
  <c r="K32" i="7"/>
  <c r="K30" i="7"/>
  <c r="E32" i="7"/>
  <c r="E30" i="7"/>
  <c r="K10" i="7"/>
  <c r="K7" i="7"/>
  <c r="E10" i="7"/>
  <c r="E7" i="7"/>
  <c r="K10" i="9"/>
  <c r="K7" i="9"/>
  <c r="E10" i="9"/>
  <c r="E7" i="9"/>
  <c r="E10" i="39"/>
  <c r="E7" i="39"/>
  <c r="E11" i="8"/>
  <c r="E7" i="8"/>
  <c r="E11" i="24"/>
  <c r="E7" i="24"/>
  <c r="E11" i="20"/>
  <c r="E7" i="20"/>
  <c r="E10" i="36"/>
  <c r="E7" i="36"/>
  <c r="E10" i="29"/>
  <c r="E7" i="29"/>
  <c r="E10" i="31"/>
  <c r="E7" i="31"/>
  <c r="E11" i="28"/>
  <c r="E8" i="28"/>
  <c r="E9" i="22"/>
  <c r="E6" i="22"/>
  <c r="E11" i="2"/>
  <c r="E8" i="2"/>
  <c r="E10" i="3"/>
  <c r="E6" i="3"/>
  <c r="E10" i="40"/>
  <c r="E7" i="40"/>
  <c r="E11" i="19"/>
  <c r="E7" i="19"/>
  <c r="E10" i="18"/>
  <c r="E7" i="18"/>
  <c r="E10" i="38"/>
  <c r="E7" i="38"/>
  <c r="E10" i="37"/>
  <c r="E7" i="37"/>
  <c r="E11" i="35"/>
  <c r="E8" i="35"/>
  <c r="E11" i="23"/>
  <c r="E7" i="23"/>
  <c r="E10" i="27"/>
  <c r="E7" i="27"/>
  <c r="E10" i="26"/>
  <c r="E7" i="26"/>
  <c r="E10" i="25"/>
  <c r="E7" i="25"/>
  <c r="E11" i="10"/>
  <c r="E6" i="10"/>
  <c r="E11" i="16"/>
  <c r="E7" i="16"/>
  <c r="E10" i="13"/>
  <c r="E7" i="13"/>
  <c r="E9" i="21"/>
  <c r="E6" i="21"/>
  <c r="E11" i="15"/>
  <c r="E7" i="15"/>
  <c r="E11" i="11"/>
  <c r="E8" i="11"/>
  <c r="E10" i="12"/>
  <c r="E6" i="12"/>
  <c r="E11" i="14"/>
  <c r="E8" i="14"/>
  <c r="E15" i="41"/>
  <c r="E13" i="41"/>
  <c r="E8" i="41"/>
  <c r="E6" i="41"/>
  <c r="E5" i="41"/>
  <c r="E13" i="33"/>
  <c r="E15" i="33" s="1"/>
  <c r="E7" i="33"/>
  <c r="E8" i="33"/>
  <c r="E6" i="33"/>
  <c r="E5" i="33"/>
  <c r="E8" i="32"/>
  <c r="E6" i="32"/>
  <c r="E5" i="32"/>
  <c r="E13" i="32"/>
  <c r="E15" i="32" s="1"/>
  <c r="E7" i="32"/>
  <c r="E41" i="34"/>
  <c r="E34" i="34"/>
  <c r="E31" i="34"/>
  <c r="E33" i="34"/>
  <c r="E30" i="34"/>
  <c r="E29" i="34"/>
  <c r="E28" i="34"/>
  <c r="K7" i="34"/>
  <c r="K9" i="34"/>
  <c r="K6" i="34"/>
  <c r="K6" i="30"/>
  <c r="K9" i="30"/>
  <c r="K17" i="34"/>
  <c r="E17" i="34"/>
  <c r="E9" i="34"/>
  <c r="E6" i="34"/>
  <c r="E8" i="34"/>
  <c r="K5" i="34"/>
  <c r="E5" i="34"/>
  <c r="K4" i="34"/>
  <c r="E4" i="34"/>
  <c r="K17" i="30"/>
  <c r="K5" i="30"/>
  <c r="K4" i="30"/>
  <c r="E17" i="30"/>
  <c r="E9" i="30"/>
  <c r="E6" i="30"/>
  <c r="E8" i="30"/>
  <c r="E5" i="30"/>
  <c r="E4" i="30"/>
  <c r="E15" i="39"/>
  <c r="E13" i="39"/>
  <c r="E12" i="39"/>
  <c r="E9" i="39"/>
  <c r="E8" i="39"/>
  <c r="E4" i="39"/>
  <c r="E16" i="38"/>
  <c r="E9" i="38"/>
  <c r="E6" i="38"/>
  <c r="E8" i="38"/>
  <c r="E5" i="38"/>
  <c r="E4" i="38"/>
  <c r="E16" i="37"/>
  <c r="E9" i="37"/>
  <c r="E6" i="37"/>
  <c r="E8" i="37"/>
  <c r="E5" i="37"/>
  <c r="E4" i="37"/>
  <c r="E17" i="35"/>
  <c r="E7" i="35"/>
  <c r="E10" i="35"/>
  <c r="E6" i="35"/>
  <c r="E9" i="35"/>
  <c r="E5" i="35"/>
  <c r="E4" i="35"/>
  <c r="E16" i="40"/>
  <c r="E9" i="40"/>
  <c r="E6" i="40"/>
  <c r="E8" i="40"/>
  <c r="E5" i="40"/>
  <c r="E4" i="40"/>
  <c r="E16" i="36"/>
  <c r="E9" i="36"/>
  <c r="E6" i="36"/>
  <c r="E8" i="36"/>
  <c r="E5" i="36"/>
  <c r="E4" i="36"/>
  <c r="E16" i="31"/>
  <c r="E9" i="31"/>
  <c r="E6" i="31"/>
  <c r="E8" i="31"/>
  <c r="E5" i="31"/>
  <c r="E4" i="31"/>
  <c r="E16" i="29"/>
  <c r="E9" i="29"/>
  <c r="E6" i="29"/>
  <c r="E8" i="29"/>
  <c r="E5" i="29"/>
  <c r="E4" i="29"/>
  <c r="E6" i="28"/>
  <c r="E10" i="28"/>
  <c r="E7" i="28"/>
  <c r="E17" i="28"/>
  <c r="E9" i="28"/>
  <c r="E5" i="28"/>
  <c r="E4" i="28"/>
  <c r="E16" i="27"/>
  <c r="E9" i="27"/>
  <c r="E6" i="27"/>
  <c r="E8" i="27"/>
  <c r="E5" i="27"/>
  <c r="E4" i="27"/>
  <c r="E16" i="26"/>
  <c r="E9" i="26"/>
  <c r="E6" i="26"/>
  <c r="E8" i="26"/>
  <c r="E5" i="26"/>
  <c r="E4" i="26"/>
  <c r="E16" i="25"/>
  <c r="E9" i="25"/>
  <c r="E6" i="25"/>
  <c r="E8" i="25"/>
  <c r="E5" i="25"/>
  <c r="E4" i="25"/>
  <c r="E15" i="24"/>
  <c r="E17" i="24" s="1"/>
  <c r="E6" i="24"/>
  <c r="E9" i="24"/>
  <c r="E8" i="24"/>
  <c r="E4" i="24"/>
  <c r="E17" i="23"/>
  <c r="E9" i="23"/>
  <c r="E6" i="23"/>
  <c r="E8" i="23"/>
  <c r="E5" i="23"/>
  <c r="E4" i="23"/>
  <c r="K6" i="7"/>
  <c r="E6" i="7"/>
  <c r="E16" i="22"/>
  <c r="E15" i="22"/>
  <c r="E17" i="22" s="1"/>
  <c r="E14" i="22"/>
  <c r="E8" i="22"/>
  <c r="E5" i="22"/>
  <c r="E7" i="22"/>
  <c r="E10" i="22"/>
  <c r="E4" i="22"/>
  <c r="E15" i="21"/>
  <c r="E16" i="21"/>
  <c r="E13" i="21"/>
  <c r="E8" i="21"/>
  <c r="E5" i="21"/>
  <c r="E7" i="21"/>
  <c r="E10" i="21"/>
  <c r="E4" i="21"/>
  <c r="E17" i="20"/>
  <c r="E9" i="20"/>
  <c r="E6" i="20"/>
  <c r="E8" i="20"/>
  <c r="E5" i="20"/>
  <c r="E4" i="20"/>
  <c r="E17" i="19"/>
  <c r="E9" i="19"/>
  <c r="E6" i="19"/>
  <c r="E8" i="19"/>
  <c r="E5" i="19"/>
  <c r="E4" i="19"/>
  <c r="E9" i="18"/>
  <c r="E6" i="18"/>
  <c r="E8" i="18"/>
  <c r="E5" i="18"/>
  <c r="E16" i="18"/>
  <c r="E4" i="18"/>
  <c r="E6" i="2"/>
  <c r="E11" i="29" l="1"/>
  <c r="E17" i="29" s="1"/>
  <c r="E18" i="29" s="1"/>
  <c r="E19" i="29" s="1"/>
  <c r="E10" i="41"/>
  <c r="E16" i="41" s="1"/>
  <c r="E17" i="41" s="1"/>
  <c r="E18" i="41" s="1"/>
  <c r="E34" i="33"/>
  <c r="E40" i="33" s="1"/>
  <c r="E41" i="33" s="1"/>
  <c r="E42" i="33" s="1"/>
  <c r="E10" i="33"/>
  <c r="E16" i="33" s="1"/>
  <c r="E17" i="33" s="1"/>
  <c r="E18" i="33" s="1"/>
  <c r="E34" i="39"/>
  <c r="E36" i="19"/>
  <c r="E42" i="19" s="1"/>
  <c r="E43" i="19" s="1"/>
  <c r="E44" i="19" s="1"/>
  <c r="E36" i="34"/>
  <c r="E42" i="34" s="1"/>
  <c r="E43" i="34" s="1"/>
  <c r="E44" i="34" s="1"/>
  <c r="K12" i="34"/>
  <c r="K18" i="34" s="1"/>
  <c r="K19" i="34" s="1"/>
  <c r="K20" i="34" s="1"/>
  <c r="K12" i="30"/>
  <c r="K18" i="30" s="1"/>
  <c r="K19" i="30" s="1"/>
  <c r="K20" i="30" s="1"/>
  <c r="E36" i="23"/>
  <c r="E42" i="23" s="1"/>
  <c r="E43" i="23" s="1"/>
  <c r="E44" i="23" s="1"/>
  <c r="E11" i="25"/>
  <c r="E17" i="25" s="1"/>
  <c r="E18" i="25" s="1"/>
  <c r="E19" i="25" s="1"/>
  <c r="E11" i="21"/>
  <c r="E17" i="21" s="1"/>
  <c r="E18" i="21" s="1"/>
  <c r="E19" i="21" s="1"/>
  <c r="E16" i="39"/>
  <c r="E39" i="39"/>
  <c r="E35" i="20"/>
  <c r="E41" i="20" s="1"/>
  <c r="E42" i="20" s="1"/>
  <c r="E43" i="20" s="1"/>
  <c r="E12" i="23"/>
  <c r="E18" i="23" s="1"/>
  <c r="E19" i="23" s="1"/>
  <c r="E20" i="23" s="1"/>
  <c r="E12" i="30"/>
  <c r="E18" i="30" s="1"/>
  <c r="E19" i="30" s="1"/>
  <c r="E20" i="30" s="1"/>
  <c r="E11" i="31"/>
  <c r="E17" i="31" s="1"/>
  <c r="E18" i="31" s="1"/>
  <c r="E19" i="31" s="1"/>
  <c r="E11" i="40"/>
  <c r="E17" i="40" s="1"/>
  <c r="E18" i="40" s="1"/>
  <c r="E19" i="40" s="1"/>
  <c r="E11" i="18"/>
  <c r="E17" i="18" s="1"/>
  <c r="E18" i="18" s="1"/>
  <c r="E19" i="18" s="1"/>
  <c r="E11" i="38"/>
  <c r="E17" i="38" s="1"/>
  <c r="E18" i="38" s="1"/>
  <c r="E19" i="38" s="1"/>
  <c r="E11" i="37"/>
  <c r="E17" i="37" s="1"/>
  <c r="E18" i="37" s="1"/>
  <c r="E19" i="37" s="1"/>
  <c r="E11" i="27"/>
  <c r="E17" i="27" s="1"/>
  <c r="E18" i="27" s="1"/>
  <c r="E19" i="27" s="1"/>
  <c r="E11" i="26"/>
  <c r="E17" i="26" s="1"/>
  <c r="E18" i="26" s="1"/>
  <c r="E19" i="26" s="1"/>
  <c r="E10" i="32"/>
  <c r="E16" i="32" s="1"/>
  <c r="E17" i="32" s="1"/>
  <c r="E18" i="32" s="1"/>
  <c r="E12" i="34"/>
  <c r="E18" i="34" s="1"/>
  <c r="E19" i="34" s="1"/>
  <c r="E20" i="34" s="1"/>
  <c r="E11" i="39"/>
  <c r="E17" i="39" s="1"/>
  <c r="E12" i="35"/>
  <c r="E18" i="35" s="1"/>
  <c r="E19" i="35" s="1"/>
  <c r="E20" i="35" s="1"/>
  <c r="E11" i="36"/>
  <c r="E17" i="36" s="1"/>
  <c r="E18" i="36" s="1"/>
  <c r="E19" i="36" s="1"/>
  <c r="E12" i="28"/>
  <c r="E18" i="28" s="1"/>
  <c r="E19" i="28" s="1"/>
  <c r="E20" i="28" s="1"/>
  <c r="E12" i="24"/>
  <c r="E18" i="24" s="1"/>
  <c r="E19" i="24" s="1"/>
  <c r="E20" i="24" s="1"/>
  <c r="E12" i="22"/>
  <c r="E18" i="22" s="1"/>
  <c r="E12" i="20"/>
  <c r="E18" i="20" s="1"/>
  <c r="E19" i="20" s="1"/>
  <c r="E20" i="20" s="1"/>
  <c r="E12" i="19"/>
  <c r="E18" i="19" s="1"/>
  <c r="E19" i="19" s="1"/>
  <c r="E20" i="19" s="1"/>
  <c r="E5" i="3"/>
  <c r="K29" i="7"/>
  <c r="E29" i="7"/>
  <c r="K6" i="9"/>
  <c r="E6" i="9"/>
  <c r="E6" i="8"/>
  <c r="E6" i="16"/>
  <c r="E6" i="15"/>
  <c r="E6" i="14"/>
  <c r="E6" i="13"/>
  <c r="E5" i="12"/>
  <c r="E7" i="11"/>
  <c r="E5" i="10"/>
  <c r="E40" i="39" l="1"/>
  <c r="E41" i="39" s="1"/>
  <c r="E42" i="39" s="1"/>
  <c r="E18" i="39"/>
  <c r="E19" i="39" s="1"/>
  <c r="E19" i="22"/>
  <c r="E20" i="22" s="1"/>
  <c r="K16" i="9" l="1"/>
  <c r="K15" i="9"/>
  <c r="K14" i="9"/>
  <c r="K9" i="9"/>
  <c r="K8" i="9"/>
  <c r="K11" i="9"/>
  <c r="K5" i="9"/>
  <c r="K4" i="9"/>
  <c r="K12" i="9" l="1"/>
  <c r="K17" i="9"/>
  <c r="K18" i="9" l="1"/>
  <c r="K19" i="9" s="1"/>
  <c r="K20" i="9" s="1"/>
  <c r="K36" i="7"/>
  <c r="E36" i="7"/>
  <c r="K35" i="7"/>
  <c r="E35" i="7"/>
  <c r="K34" i="7"/>
  <c r="K37" i="7" s="1"/>
  <c r="E34" i="7"/>
  <c r="K31" i="7"/>
  <c r="E31" i="7"/>
  <c r="K28" i="7"/>
  <c r="E28" i="7"/>
  <c r="K27" i="7"/>
  <c r="E27" i="7"/>
  <c r="K26" i="7"/>
  <c r="E26" i="7"/>
  <c r="K14" i="7"/>
  <c r="E14" i="7"/>
  <c r="K9" i="7"/>
  <c r="E9" i="7"/>
  <c r="K8" i="7"/>
  <c r="E8" i="7"/>
  <c r="K5" i="7"/>
  <c r="E5" i="7"/>
  <c r="K4" i="7"/>
  <c r="E4" i="7"/>
  <c r="E17" i="2"/>
  <c r="E10" i="2"/>
  <c r="E9" i="2"/>
  <c r="E7" i="2"/>
  <c r="E5" i="2"/>
  <c r="E4" i="2"/>
  <c r="E16" i="3"/>
  <c r="E14" i="3"/>
  <c r="E8" i="3"/>
  <c r="E7" i="3"/>
  <c r="E11" i="3"/>
  <c r="E4" i="3"/>
  <c r="E16" i="8"/>
  <c r="E14" i="8"/>
  <c r="E13" i="8"/>
  <c r="E9" i="8"/>
  <c r="E8" i="8"/>
  <c r="E5" i="8"/>
  <c r="E4" i="8"/>
  <c r="E16" i="9"/>
  <c r="E15" i="9"/>
  <c r="E14" i="9"/>
  <c r="E9" i="9"/>
  <c r="E8" i="9"/>
  <c r="E11" i="9"/>
  <c r="E5" i="9"/>
  <c r="E4" i="9"/>
  <c r="E17" i="16"/>
  <c r="E10" i="16"/>
  <c r="E8" i="16"/>
  <c r="E9" i="16"/>
  <c r="E5" i="16"/>
  <c r="E4" i="16"/>
  <c r="E16" i="15"/>
  <c r="E13" i="15"/>
  <c r="E10" i="15"/>
  <c r="E8" i="15"/>
  <c r="E9" i="15"/>
  <c r="E5" i="15"/>
  <c r="E4" i="15"/>
  <c r="E16" i="14"/>
  <c r="E14" i="14"/>
  <c r="E10" i="14"/>
  <c r="E9" i="14"/>
  <c r="E7" i="14"/>
  <c r="E5" i="14"/>
  <c r="E4" i="14"/>
  <c r="E15" i="13"/>
  <c r="E13" i="13"/>
  <c r="E9" i="13"/>
  <c r="E8" i="13"/>
  <c r="E5" i="13"/>
  <c r="E4" i="13"/>
  <c r="E16" i="12"/>
  <c r="E14" i="12"/>
  <c r="E8" i="12"/>
  <c r="E7" i="12"/>
  <c r="E11" i="12"/>
  <c r="E4" i="12"/>
  <c r="E10" i="11"/>
  <c r="E10" i="10"/>
  <c r="E15" i="11"/>
  <c r="E13" i="11"/>
  <c r="E9" i="11"/>
  <c r="E5" i="11"/>
  <c r="E6" i="11"/>
  <c r="E4" i="11"/>
  <c r="E17" i="10"/>
  <c r="E7" i="10"/>
  <c r="E8" i="10"/>
  <c r="E9" i="10"/>
  <c r="E4" i="10"/>
  <c r="E12" i="9" l="1"/>
  <c r="E12" i="16"/>
  <c r="E18" i="16" s="1"/>
  <c r="E12" i="10"/>
  <c r="E18" i="10" s="1"/>
  <c r="E19" i="10" s="1"/>
  <c r="E20" i="10" s="1"/>
  <c r="E11" i="7"/>
  <c r="E33" i="7"/>
  <c r="K11" i="7"/>
  <c r="K33" i="7"/>
  <c r="K38" i="7" s="1"/>
  <c r="E12" i="14"/>
  <c r="E18" i="14" s="1"/>
  <c r="E19" i="14" s="1"/>
  <c r="E20" i="14" s="1"/>
  <c r="E11" i="13"/>
  <c r="E12" i="11"/>
  <c r="E18" i="11" s="1"/>
  <c r="E12" i="12"/>
  <c r="E18" i="12" s="1"/>
  <c r="E19" i="12" s="1"/>
  <c r="E20" i="12" s="1"/>
  <c r="E12" i="2"/>
  <c r="E18" i="2" s="1"/>
  <c r="E19" i="2" s="1"/>
  <c r="E20" i="2" s="1"/>
  <c r="E12" i="3"/>
  <c r="E12" i="8"/>
  <c r="E12" i="15"/>
  <c r="E18" i="15" s="1"/>
  <c r="E17" i="8"/>
  <c r="E16" i="13"/>
  <c r="E17" i="9"/>
  <c r="K16" i="7"/>
  <c r="E16" i="7"/>
  <c r="E37" i="7"/>
  <c r="E17" i="3"/>
  <c r="E18" i="3" l="1"/>
  <c r="E19" i="3" s="1"/>
  <c r="E20" i="3" s="1"/>
  <c r="E19" i="16"/>
  <c r="E20" i="16" s="1"/>
  <c r="E17" i="13"/>
  <c r="E18" i="13" s="1"/>
  <c r="E19" i="13" s="1"/>
  <c r="E18" i="9"/>
  <c r="E19" i="9" s="1"/>
  <c r="E20" i="9" s="1"/>
  <c r="E18" i="8"/>
  <c r="E19" i="8" s="1"/>
  <c r="E20" i="8" s="1"/>
  <c r="E19" i="11"/>
  <c r="E20" i="11" s="1"/>
  <c r="E38" i="7"/>
  <c r="E39" i="7" s="1"/>
  <c r="E40" i="7" s="1"/>
  <c r="K39" i="7"/>
  <c r="K40" i="7" s="1"/>
  <c r="K17" i="7"/>
  <c r="K18" i="7" s="1"/>
  <c r="E17" i="7"/>
  <c r="E18" i="7" s="1"/>
  <c r="E19" i="15"/>
  <c r="E20" i="15" s="1"/>
  <c r="K19" i="7" l="1"/>
  <c r="E19" i="7"/>
</calcChain>
</file>

<file path=xl/sharedStrings.xml><?xml version="1.0" encoding="utf-8"?>
<sst xmlns="http://schemas.openxmlformats.org/spreadsheetml/2006/main" count="2227" uniqueCount="170">
  <si>
    <t>Fivela Forrada</t>
  </si>
  <si>
    <t>Ombreira</t>
  </si>
  <si>
    <t>JALECO 342 - SARAH</t>
  </si>
  <si>
    <t>Quantidade</t>
  </si>
  <si>
    <t>Unidade</t>
  </si>
  <si>
    <t>Custo Total</t>
  </si>
  <si>
    <t>Custo Unitário</t>
  </si>
  <si>
    <t>Item</t>
  </si>
  <si>
    <t>Tecido - Premium Elastano</t>
  </si>
  <si>
    <t>Gancho para Encaixe</t>
  </si>
  <si>
    <t>Metro</t>
  </si>
  <si>
    <t>Linhas</t>
  </si>
  <si>
    <t>CUSTO - MATÉRIA PRIMA E INSUMOS</t>
  </si>
  <si>
    <t>Horas</t>
  </si>
  <si>
    <t>CUSTO TOTAL DO PRODUTO</t>
  </si>
  <si>
    <t>CUSTO - MÃO DE OBRA</t>
  </si>
  <si>
    <t>Lucro (%)</t>
  </si>
  <si>
    <t>PREÇO DE VENDA</t>
  </si>
  <si>
    <t>Pin</t>
  </si>
  <si>
    <t>Botões Forrados</t>
  </si>
  <si>
    <t>Botões Comuns</t>
  </si>
  <si>
    <t>JALECO 343 - DANI</t>
  </si>
  <si>
    <t>JALECO 345 - CECÍLIA</t>
  </si>
  <si>
    <t>Zíper</t>
  </si>
  <si>
    <t>Ribana</t>
  </si>
  <si>
    <t>JALECO 346 - LIA</t>
  </si>
  <si>
    <t>Botão Forrado</t>
  </si>
  <si>
    <t>JALECO 349 - ISAC</t>
  </si>
  <si>
    <t>JALECO 557 - BEATRIZ</t>
  </si>
  <si>
    <t>Entertela Colante</t>
  </si>
  <si>
    <t>JALECO 558 - ESTER</t>
  </si>
  <si>
    <t>Botão dourado</t>
  </si>
  <si>
    <t>Tecido - Algodão com Elastano</t>
  </si>
  <si>
    <t>Tecido - Jeans</t>
  </si>
  <si>
    <t>Botão de Pressão</t>
  </si>
  <si>
    <t>JALECO 559 - NOAH</t>
  </si>
  <si>
    <t>Entretela Colante</t>
  </si>
  <si>
    <t>Tecido - Gabardine</t>
  </si>
  <si>
    <t>Elástico</t>
  </si>
  <si>
    <t>Cadarço</t>
  </si>
  <si>
    <t>Costura externa</t>
  </si>
  <si>
    <t>CUSTOS FIXOS 61%</t>
  </si>
  <si>
    <t>Ziper</t>
  </si>
  <si>
    <t>Embalagem saco/sacola</t>
  </si>
  <si>
    <t>JALECO 391 - RUTE</t>
  </si>
  <si>
    <t>Gramas</t>
  </si>
  <si>
    <t>gramas</t>
  </si>
  <si>
    <t>Zíper (Tratorado)</t>
  </si>
  <si>
    <t>522E/648E - MACACÃO FEM/MASC ML</t>
  </si>
  <si>
    <t>Botão Cromado/forrado</t>
  </si>
  <si>
    <t xml:space="preserve">JALECO 372-MARTA </t>
  </si>
  <si>
    <t>Botão Comum</t>
  </si>
  <si>
    <t>JALECO 300-HELOISA</t>
  </si>
  <si>
    <t>JALECO 991-SAMUEL</t>
  </si>
  <si>
    <t>Ziper Tratorado</t>
  </si>
  <si>
    <t>JALECO 370-PAULO</t>
  </si>
  <si>
    <t>355/350 - DOLMÃ FEM/MASC</t>
  </si>
  <si>
    <t>JALECO 374-ABIGAIL</t>
  </si>
  <si>
    <t>JALECO 807-ACSA</t>
  </si>
  <si>
    <t>JALECO 375-ADA</t>
  </si>
  <si>
    <t>JALECO 644-BENJAMIN</t>
  </si>
  <si>
    <t>Botão comum</t>
  </si>
  <si>
    <t>JALECO 340-BERNARDO</t>
  </si>
  <si>
    <t>JALECO 341-CALEB</t>
  </si>
  <si>
    <t>JALECO 643-HEITOR</t>
  </si>
  <si>
    <t>JALECO 389-THAMAR</t>
  </si>
  <si>
    <t>JALECO 640-HANANI</t>
  </si>
  <si>
    <t>JALECO 377-LIS</t>
  </si>
  <si>
    <t>JALECO 376-MARIAH</t>
  </si>
  <si>
    <t>065 - SCRUB FEMININO CONFY</t>
  </si>
  <si>
    <t>Elastico+ cadarço tecido</t>
  </si>
  <si>
    <t>MANGA CURTA</t>
  </si>
  <si>
    <t>MANGA LONGA</t>
  </si>
  <si>
    <t>JALECO 641-ELISAMA</t>
  </si>
  <si>
    <t>JALECO 641-ELISAMA MANGA RENDA</t>
  </si>
  <si>
    <t>Botão Diamante</t>
  </si>
  <si>
    <t>JALECO 390-FRANCIS MANGA RENDA</t>
  </si>
  <si>
    <t xml:space="preserve">JALECO 390-FRANCIS </t>
  </si>
  <si>
    <t>JALECO 390-NOEMI DETALHE RENDA</t>
  </si>
  <si>
    <t>Tecido - MALHA ELASTANO</t>
  </si>
  <si>
    <t>Embalagem Saco Transp.</t>
  </si>
  <si>
    <t>Etiqueta Palito</t>
  </si>
  <si>
    <t xml:space="preserve"> TURBANTE</t>
  </si>
  <si>
    <t>TOUCA</t>
  </si>
  <si>
    <t>Etiqueta tamanho/compos</t>
  </si>
  <si>
    <t>Tag</t>
  </si>
  <si>
    <t>Jogo</t>
  </si>
  <si>
    <t>Zíper Tratorado</t>
  </si>
  <si>
    <t>* Detalhe da  peça</t>
  </si>
  <si>
    <t>*Preço de venda = Maior valor da variação do modelo</t>
  </si>
  <si>
    <t>Tecido - Manga Renda</t>
  </si>
  <si>
    <t>Tecido - Detalhes em Renda</t>
  </si>
  <si>
    <t>Tecido  Manga  Renda</t>
  </si>
  <si>
    <t>1 kg = 3 metros = 18 turbantes</t>
  </si>
  <si>
    <t>1 metro = 7 gorros</t>
  </si>
  <si>
    <t>1 metro = 7 toucas</t>
  </si>
  <si>
    <t>JALECO 371-MANOEL LISO</t>
  </si>
  <si>
    <t>JALECO 371-MANOEL ESTAMPA</t>
  </si>
  <si>
    <t>Sublimação/papel</t>
  </si>
  <si>
    <t>JALECO 373-MANUELA LISO</t>
  </si>
  <si>
    <t>JALECO 373-MANUELA ESTAMPA</t>
  </si>
  <si>
    <t>JALECO 378-CHLOE ESTAMPA</t>
  </si>
  <si>
    <t>065 - SCRUB FEM/MASC LISO</t>
  </si>
  <si>
    <t>065 - SCRUB FEM/MASC ESTAMPA</t>
  </si>
  <si>
    <t>GORRO LISO</t>
  </si>
  <si>
    <t>GORRO ESTAMPA</t>
  </si>
  <si>
    <t>Tecido - algodão</t>
  </si>
  <si>
    <t>Tecido - Algodão C/elast</t>
  </si>
  <si>
    <t>PREÇO DE VENDA SUGERIDO</t>
  </si>
  <si>
    <t>elastano U$ 2,53</t>
  </si>
  <si>
    <t>gabardini U$ 1,76</t>
  </si>
  <si>
    <t>Botão Dourado cromado</t>
  </si>
  <si>
    <t>Tecido - gabardine</t>
  </si>
  <si>
    <t>DOLMÃ FEM/MASC (camisa</t>
  </si>
  <si>
    <t>Tecido - Gabardine/elastano</t>
  </si>
  <si>
    <t>JALECO 378-CHLOE CORES</t>
  </si>
  <si>
    <t>JALECO 373-MANUELA CORES</t>
  </si>
  <si>
    <t>JALECO 371-MANOEL CORES</t>
  </si>
  <si>
    <t>522/648 - MACACÃO MANGA CURTA</t>
  </si>
  <si>
    <t>AVENTAL</t>
  </si>
  <si>
    <t>Tecido -</t>
  </si>
  <si>
    <t>1 kilo rende 2,60 metros R$ 50,07</t>
  </si>
  <si>
    <t>Ziper dourado com puxador</t>
  </si>
  <si>
    <t>metro</t>
  </si>
  <si>
    <t>Tecido - SCUBA CREPE</t>
  </si>
  <si>
    <t>JALECO 400 ISABEL</t>
  </si>
  <si>
    <t>605 - SCRUB FEMININO STYLE</t>
  </si>
  <si>
    <t>Tecido -GABARDINE</t>
  </si>
  <si>
    <t>* Detalhe da  peça calça de amarrar</t>
  </si>
  <si>
    <t>610 - SCRUB FEMININO GLAMOUR</t>
  </si>
  <si>
    <t>* Detalhe da  peça calça pantalona</t>
  </si>
  <si>
    <t>ROBE GABARDINE</t>
  </si>
  <si>
    <t>botao comun</t>
  </si>
  <si>
    <t>JALECO 615 CHARLOTTE</t>
  </si>
  <si>
    <t>Tecido - TWILL</t>
  </si>
  <si>
    <t>ROBE CREPE AMANDA</t>
  </si>
  <si>
    <t>Tecido - Crepe amanda</t>
  </si>
  <si>
    <t>Tecido gabardine</t>
  </si>
  <si>
    <t>1 metro tecido = 6 guardanapos</t>
  </si>
  <si>
    <t xml:space="preserve">CUSTOS FIXOS 61% </t>
  </si>
  <si>
    <t>Embalagem Saco plastico+papel</t>
  </si>
  <si>
    <t>Embalagem e-comm+canguru</t>
  </si>
  <si>
    <t>Mao de obra 4% sobre venda -Felipe</t>
  </si>
  <si>
    <t>GUARDANAPO 6 pç</t>
  </si>
  <si>
    <t>GUARDANAPO 4 pc</t>
  </si>
  <si>
    <t>GUARDANAPO 8 pç</t>
  </si>
  <si>
    <t>GUARDANAPO 10 pç</t>
  </si>
  <si>
    <t>1 guardanapo preço de VENDA R$ 8,30 cada</t>
  </si>
  <si>
    <t>Tecido - TEC EASY</t>
  </si>
  <si>
    <t>JALECO 800-BENÍCIO</t>
  </si>
  <si>
    <t>JALECO 700-CLARA</t>
  </si>
  <si>
    <t xml:space="preserve">080 - SCRUB LOREN </t>
  </si>
  <si>
    <t>090 - SCRUB LORENZO</t>
  </si>
  <si>
    <t>Elastico</t>
  </si>
  <si>
    <t>GORRO LISO ELASTANO</t>
  </si>
  <si>
    <t>GORRO CREPE</t>
  </si>
  <si>
    <t>Strass incolor</t>
  </si>
  <si>
    <t>Strass incolor manga</t>
  </si>
  <si>
    <t>JALECO 430 - DIANA</t>
  </si>
  <si>
    <t>GORRO SHINE INCOLOR</t>
  </si>
  <si>
    <t>GORRO SHINE FURTA-COR</t>
  </si>
  <si>
    <t>strass incolor gola</t>
  </si>
  <si>
    <t>JALECO 388-MAITÊ</t>
  </si>
  <si>
    <t>Botão Comum Escondido</t>
  </si>
  <si>
    <t>Zíper Comum</t>
  </si>
  <si>
    <t xml:space="preserve">Elastico </t>
  </si>
  <si>
    <t>JALECO 375-CLINIC CORES</t>
  </si>
  <si>
    <t>JALECO 375-CLINIC BRANCO</t>
  </si>
  <si>
    <t>JALECO 375-CLINIC ESTAMPA</t>
  </si>
  <si>
    <t>COLETE GABARDINI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</si>
</sst>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44" fontId="0" fillId="0" borderId="1" xfId="1" applyFont="1" applyBorder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44" fontId="0" fillId="2" borderId="1" xfId="1" applyFont="1" applyFill="1" applyBorder="1"/>
    <xf numFmtId="0" fontId="3" fillId="0" borderId="0" xfId="0" applyFont="1" applyAlignment="1">
      <alignment horizontal="center" vertical="center"/>
    </xf>
    <xf numFmtId="44" fontId="3" fillId="0" borderId="0" xfId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44" fontId="3" fillId="0" borderId="1" xfId="1" applyFont="1" applyBorder="1" applyAlignment="1">
      <alignment vertical="center"/>
    </xf>
    <xf numFmtId="9" fontId="6" fillId="0" borderId="1" xfId="2" applyFont="1" applyFill="1" applyBorder="1" applyAlignment="1"/>
    <xf numFmtId="44" fontId="7" fillId="0" borderId="1" xfId="1" applyFont="1" applyBorder="1" applyAlignment="1"/>
    <xf numFmtId="0" fontId="2" fillId="0" borderId="1" xfId="0" applyFont="1" applyBorder="1" applyAlignment="1">
      <alignment horizontal="center" vertical="center"/>
    </xf>
    <xf numFmtId="44" fontId="0" fillId="2" borderId="1" xfId="1" applyFont="1" applyFill="1" applyBorder="1" applyAlignment="1">
      <alignment vertical="center"/>
    </xf>
    <xf numFmtId="44" fontId="0" fillId="0" borderId="1" xfId="1" applyFont="1" applyBorder="1" applyAlignment="1">
      <alignment horizontal="center" vertical="center"/>
    </xf>
    <xf numFmtId="44" fontId="3" fillId="2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2" borderId="0" xfId="0" applyFill="1"/>
    <xf numFmtId="44" fontId="0" fillId="0" borderId="0" xfId="0" applyNumberFormat="1"/>
    <xf numFmtId="43" fontId="0" fillId="0" borderId="0" xfId="3" applyFont="1"/>
    <xf numFmtId="10" fontId="6" fillId="0" borderId="1" xfId="2" applyNumberFormat="1" applyFont="1" applyFill="1" applyBorder="1" applyAlignment="1"/>
    <xf numFmtId="9" fontId="0" fillId="0" borderId="0" xfId="2" applyFont="1"/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 vertical="center"/>
    </xf>
    <xf numFmtId="44" fontId="0" fillId="0" borderId="4" xfId="1" applyFont="1" applyBorder="1"/>
    <xf numFmtId="0" fontId="0" fillId="3" borderId="1" xfId="0" applyFill="1" applyBorder="1"/>
    <xf numFmtId="0" fontId="0" fillId="4" borderId="1" xfId="0" applyFill="1" applyBorder="1"/>
    <xf numFmtId="0" fontId="0" fillId="0" borderId="5" xfId="0" applyBorder="1"/>
    <xf numFmtId="0" fontId="0" fillId="3" borderId="5" xfId="0" applyFill="1" applyBorder="1"/>
    <xf numFmtId="0" fontId="0" fillId="0" borderId="4" xfId="0" applyBorder="1"/>
    <xf numFmtId="0" fontId="0" fillId="4" borderId="4" xfId="0" applyFill="1" applyBorder="1"/>
    <xf numFmtId="0" fontId="0" fillId="0" borderId="6" xfId="0" applyBorder="1"/>
    <xf numFmtId="14" fontId="0" fillId="0" borderId="8" xfId="0" applyNumberFormat="1" applyBorder="1"/>
    <xf numFmtId="0" fontId="0" fillId="0" borderId="9" xfId="0" applyBorder="1"/>
    <xf numFmtId="43" fontId="0" fillId="2" borderId="0" xfId="3" applyFont="1" applyFill="1"/>
    <xf numFmtId="14" fontId="0" fillId="0" borderId="0" xfId="0" applyNumberFormat="1"/>
    <xf numFmtId="9" fontId="0" fillId="0" borderId="0" xfId="0" applyNumberFormat="1"/>
    <xf numFmtId="0" fontId="0" fillId="0" borderId="7" xfId="0" applyBorder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workbookViewId="0">
      <selection activeCell="E14" sqref="E14"/>
    </sheetView>
  </sheetViews>
  <sheetFormatPr defaultRowHeight="15" x14ac:dyDescent="0.25"/>
  <cols>
    <col min="1" max="1" width="24.85546875" bestFit="1" customWidth="1"/>
    <col min="2" max="2" width="11.42578125" bestFit="1" customWidth="1"/>
    <col min="3" max="3" width="8.5703125" bestFit="1" customWidth="1"/>
    <col min="4" max="4" width="13.85546875" bestFit="1" customWidth="1"/>
    <col min="5" max="5" width="18.140625" bestFit="1" customWidth="1"/>
  </cols>
  <sheetData>
    <row r="1" spans="1:5" x14ac:dyDescent="0.25">
      <c r="A1" s="45" t="s">
        <v>59</v>
      </c>
      <c r="B1" s="45"/>
      <c r="C1" s="45"/>
      <c r="D1" s="45"/>
      <c r="E1" s="45"/>
    </row>
    <row r="2" spans="1:5" x14ac:dyDescent="0.25">
      <c r="A2" s="45"/>
      <c r="B2" s="45"/>
      <c r="C2" s="45"/>
      <c r="D2" s="45"/>
      <c r="E2" s="45"/>
    </row>
    <row r="3" spans="1:5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</row>
    <row r="4" spans="1:5" x14ac:dyDescent="0.25">
      <c r="A4" s="31" t="s">
        <v>37</v>
      </c>
      <c r="B4" s="1">
        <v>2</v>
      </c>
      <c r="C4" s="1" t="s">
        <v>10</v>
      </c>
      <c r="D4" s="4">
        <v>10.16</v>
      </c>
      <c r="E4" s="4">
        <f>B4*D4</f>
        <v>20.32</v>
      </c>
    </row>
    <row r="5" spans="1:5" x14ac:dyDescent="0.25">
      <c r="A5" s="5" t="s">
        <v>51</v>
      </c>
      <c r="B5" s="6">
        <v>5</v>
      </c>
      <c r="C5" s="6" t="s">
        <v>4</v>
      </c>
      <c r="D5" s="7">
        <v>0.16</v>
      </c>
      <c r="E5" s="7">
        <f t="shared" ref="E5" si="0">B5*D5</f>
        <v>0.8</v>
      </c>
    </row>
    <row r="6" spans="1:5" x14ac:dyDescent="0.25">
      <c r="A6" s="3" t="s">
        <v>43</v>
      </c>
      <c r="B6" s="1">
        <v>1</v>
      </c>
      <c r="C6" s="1" t="s">
        <v>4</v>
      </c>
      <c r="D6" s="4">
        <v>4.75</v>
      </c>
      <c r="E6" s="4">
        <f>B6*D6</f>
        <v>4.75</v>
      </c>
    </row>
    <row r="7" spans="1:5" x14ac:dyDescent="0.25">
      <c r="A7" s="3" t="s">
        <v>84</v>
      </c>
      <c r="B7" s="1">
        <v>1</v>
      </c>
      <c r="C7" s="1" t="s">
        <v>4</v>
      </c>
      <c r="D7" s="4">
        <v>0.18</v>
      </c>
      <c r="E7" s="4">
        <f>B7*D7</f>
        <v>0.18</v>
      </c>
    </row>
    <row r="8" spans="1:5" x14ac:dyDescent="0.25">
      <c r="A8" s="3" t="s">
        <v>11</v>
      </c>
      <c r="B8" s="1">
        <v>10</v>
      </c>
      <c r="C8" s="1" t="s">
        <v>10</v>
      </c>
      <c r="D8" s="4">
        <v>0.04</v>
      </c>
      <c r="E8" s="4">
        <f>B8*D8</f>
        <v>0.4</v>
      </c>
    </row>
    <row r="9" spans="1:5" x14ac:dyDescent="0.25">
      <c r="A9" s="3" t="s">
        <v>18</v>
      </c>
      <c r="B9" s="1">
        <v>1</v>
      </c>
      <c r="C9" s="1" t="s">
        <v>4</v>
      </c>
      <c r="D9" s="4">
        <v>0.69</v>
      </c>
      <c r="E9" s="4">
        <f>B9*D9</f>
        <v>0.69</v>
      </c>
    </row>
    <row r="10" spans="1:5" x14ac:dyDescent="0.25">
      <c r="A10" s="3" t="s">
        <v>85</v>
      </c>
      <c r="B10" s="1">
        <v>1</v>
      </c>
      <c r="C10" s="1" t="s">
        <v>86</v>
      </c>
      <c r="D10" s="4">
        <v>0.34</v>
      </c>
      <c r="E10" s="4">
        <f>B10*D10</f>
        <v>0.34</v>
      </c>
    </row>
    <row r="11" spans="1:5" ht="18.75" x14ac:dyDescent="0.25">
      <c r="A11" s="46" t="s">
        <v>12</v>
      </c>
      <c r="B11" s="47"/>
      <c r="C11" s="47"/>
      <c r="D11" s="48"/>
      <c r="E11" s="11">
        <f>SUM(E4:E10)</f>
        <v>27.48</v>
      </c>
    </row>
    <row r="12" spans="1:5" ht="18.75" x14ac:dyDescent="0.25">
      <c r="A12" s="10"/>
      <c r="B12" s="10"/>
      <c r="C12" s="10"/>
      <c r="D12" s="11"/>
      <c r="E12" s="11"/>
    </row>
    <row r="13" spans="1:5" x14ac:dyDescent="0.25">
      <c r="A13" s="3"/>
      <c r="B13" s="3"/>
      <c r="C13" s="1"/>
      <c r="D13" s="4"/>
      <c r="E13" s="4"/>
    </row>
    <row r="14" spans="1:5" x14ac:dyDescent="0.25">
      <c r="A14" s="3" t="s">
        <v>40</v>
      </c>
      <c r="B14" s="3">
        <v>1</v>
      </c>
      <c r="C14" s="1" t="s">
        <v>13</v>
      </c>
      <c r="D14" s="4">
        <v>17</v>
      </c>
      <c r="E14" s="4">
        <v>17</v>
      </c>
    </row>
    <row r="15" spans="1:5" x14ac:dyDescent="0.25">
      <c r="A15" s="3"/>
      <c r="B15" s="3"/>
      <c r="C15" s="1"/>
      <c r="D15" s="4"/>
      <c r="E15" s="4"/>
    </row>
    <row r="16" spans="1:5" ht="18.75" x14ac:dyDescent="0.25">
      <c r="A16" s="46" t="s">
        <v>15</v>
      </c>
      <c r="B16" s="47"/>
      <c r="C16" s="47"/>
      <c r="D16" s="48"/>
      <c r="E16" s="11">
        <f>SUM(E13:E15)</f>
        <v>17</v>
      </c>
    </row>
    <row r="17" spans="1:6" ht="15.75" x14ac:dyDescent="0.25">
      <c r="A17" s="49" t="s">
        <v>41</v>
      </c>
      <c r="B17" s="50"/>
      <c r="C17" s="50"/>
      <c r="D17" s="51"/>
      <c r="E17" s="13">
        <f>SUM(E16,E11)*61%</f>
        <v>27.132800000000003</v>
      </c>
    </row>
    <row r="18" spans="1:6" ht="18.75" x14ac:dyDescent="0.25">
      <c r="A18" s="46" t="s">
        <v>14</v>
      </c>
      <c r="B18" s="47"/>
      <c r="C18" s="47"/>
      <c r="D18" s="48"/>
      <c r="E18" s="11">
        <f>SUM(E17,E16,E11)</f>
        <v>71.612800000000007</v>
      </c>
      <c r="F18">
        <v>58.99</v>
      </c>
    </row>
    <row r="19" spans="1:6" ht="15.75" x14ac:dyDescent="0.25">
      <c r="A19" s="52" t="s">
        <v>16</v>
      </c>
      <c r="B19" s="53"/>
      <c r="C19" s="53"/>
      <c r="D19" s="54"/>
      <c r="E19" s="25">
        <f>(E20-E18)/E18</f>
        <v>1.5833370570624243</v>
      </c>
    </row>
    <row r="20" spans="1:6" ht="18.75" x14ac:dyDescent="0.25">
      <c r="A20" s="44" t="s">
        <v>17</v>
      </c>
      <c r="B20" s="44"/>
      <c r="C20" s="44"/>
      <c r="D20" s="44"/>
      <c r="E20" s="11">
        <v>185</v>
      </c>
      <c r="F20" s="24">
        <v>176</v>
      </c>
    </row>
    <row r="22" spans="1:6" x14ac:dyDescent="0.25">
      <c r="A22" s="27" t="s">
        <v>89</v>
      </c>
      <c r="B22" s="28"/>
      <c r="C22" s="28"/>
      <c r="D22" s="35"/>
    </row>
    <row r="23" spans="1:6" x14ac:dyDescent="0.25">
      <c r="A23" s="33" t="s">
        <v>88</v>
      </c>
      <c r="B23" s="34"/>
    </row>
  </sheetData>
  <sortState xmlns:xlrd2="http://schemas.microsoft.com/office/spreadsheetml/2017/richdata2" ref="A6:E10">
    <sortCondition ref="A5"/>
  </sortState>
  <mergeCells count="7">
    <mergeCell ref="A20:D20"/>
    <mergeCell ref="A1:E2"/>
    <mergeCell ref="A11:D11"/>
    <mergeCell ref="A16:D16"/>
    <mergeCell ref="A17:D17"/>
    <mergeCell ref="A18:D18"/>
    <mergeCell ref="A19:D19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workbookViewId="0">
      <selection activeCell="E7" sqref="E7"/>
    </sheetView>
  </sheetViews>
  <sheetFormatPr defaultRowHeight="15" x14ac:dyDescent="0.25"/>
  <cols>
    <col min="1" max="1" width="24.85546875" bestFit="1" customWidth="1"/>
    <col min="2" max="2" width="11.42578125" bestFit="1" customWidth="1"/>
    <col min="3" max="3" width="8.5703125" bestFit="1" customWidth="1"/>
    <col min="4" max="4" width="13.85546875" bestFit="1" customWidth="1"/>
    <col min="5" max="5" width="18.140625" bestFit="1" customWidth="1"/>
  </cols>
  <sheetData>
    <row r="1" spans="1:5" x14ac:dyDescent="0.25">
      <c r="A1" s="45" t="s">
        <v>58</v>
      </c>
      <c r="B1" s="45"/>
      <c r="C1" s="45"/>
      <c r="D1" s="45"/>
      <c r="E1" s="45"/>
    </row>
    <row r="2" spans="1:5" x14ac:dyDescent="0.25">
      <c r="A2" s="45"/>
      <c r="B2" s="45"/>
      <c r="C2" s="45"/>
      <c r="D2" s="45"/>
      <c r="E2" s="45"/>
    </row>
    <row r="3" spans="1:5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</row>
    <row r="4" spans="1:5" x14ac:dyDescent="0.25">
      <c r="A4" s="31" t="s">
        <v>37</v>
      </c>
      <c r="B4" s="1">
        <v>2</v>
      </c>
      <c r="C4" s="1" t="s">
        <v>10</v>
      </c>
      <c r="D4" s="4">
        <v>10.16</v>
      </c>
      <c r="E4" s="4">
        <f>B4*D4</f>
        <v>20.32</v>
      </c>
    </row>
    <row r="5" spans="1:5" x14ac:dyDescent="0.25">
      <c r="A5" s="5" t="s">
        <v>51</v>
      </c>
      <c r="B5" s="6">
        <v>8</v>
      </c>
      <c r="C5" s="6" t="s">
        <v>4</v>
      </c>
      <c r="D5" s="7">
        <v>0.16</v>
      </c>
      <c r="E5" s="7">
        <f t="shared" ref="E5" si="0">B5*D5</f>
        <v>1.28</v>
      </c>
    </row>
    <row r="6" spans="1:5" x14ac:dyDescent="0.25">
      <c r="A6" s="3" t="s">
        <v>43</v>
      </c>
      <c r="B6" s="1">
        <v>1</v>
      </c>
      <c r="C6" s="1" t="s">
        <v>4</v>
      </c>
      <c r="D6" s="4">
        <v>4.75</v>
      </c>
      <c r="E6" s="4">
        <f>B6*D6</f>
        <v>4.75</v>
      </c>
    </row>
    <row r="7" spans="1:5" x14ac:dyDescent="0.25">
      <c r="A7" s="3" t="s">
        <v>84</v>
      </c>
      <c r="B7" s="1">
        <v>1</v>
      </c>
      <c r="C7" s="1" t="s">
        <v>4</v>
      </c>
      <c r="D7" s="4">
        <v>0.27</v>
      </c>
      <c r="E7" s="4">
        <f>B7*D7</f>
        <v>0.27</v>
      </c>
    </row>
    <row r="8" spans="1:5" x14ac:dyDescent="0.25">
      <c r="A8" s="3" t="s">
        <v>11</v>
      </c>
      <c r="B8" s="1">
        <v>10</v>
      </c>
      <c r="C8" s="1" t="s">
        <v>10</v>
      </c>
      <c r="D8" s="4">
        <v>0.04</v>
      </c>
      <c r="E8" s="4">
        <f>B8*D8</f>
        <v>0.4</v>
      </c>
    </row>
    <row r="9" spans="1:5" x14ac:dyDescent="0.25">
      <c r="A9" s="3" t="s">
        <v>18</v>
      </c>
      <c r="B9" s="1">
        <v>1</v>
      </c>
      <c r="C9" s="1" t="s">
        <v>4</v>
      </c>
      <c r="D9" s="4">
        <v>0.69</v>
      </c>
      <c r="E9" s="4">
        <f>B9*D9</f>
        <v>0.69</v>
      </c>
    </row>
    <row r="10" spans="1:5" x14ac:dyDescent="0.25">
      <c r="A10" s="3" t="s">
        <v>85</v>
      </c>
      <c r="B10" s="1">
        <v>1</v>
      </c>
      <c r="C10" s="1" t="s">
        <v>86</v>
      </c>
      <c r="D10" s="4">
        <v>0.36</v>
      </c>
      <c r="E10" s="4">
        <f>B10*D10</f>
        <v>0.36</v>
      </c>
    </row>
    <row r="11" spans="1:5" ht="18.75" x14ac:dyDescent="0.25">
      <c r="A11" s="46" t="s">
        <v>12</v>
      </c>
      <c r="B11" s="47"/>
      <c r="C11" s="47"/>
      <c r="D11" s="48"/>
      <c r="E11" s="11">
        <f>SUM(E4:E10)</f>
        <v>28.07</v>
      </c>
    </row>
    <row r="12" spans="1:5" ht="18.75" x14ac:dyDescent="0.25">
      <c r="A12" s="10"/>
      <c r="B12" s="10"/>
      <c r="C12" s="10"/>
      <c r="D12" s="11"/>
      <c r="E12" s="11"/>
    </row>
    <row r="13" spans="1:5" x14ac:dyDescent="0.25">
      <c r="A13" s="3"/>
      <c r="B13" s="3"/>
      <c r="C13" s="1"/>
      <c r="D13" s="4"/>
      <c r="E13" s="4"/>
    </row>
    <row r="14" spans="1:5" x14ac:dyDescent="0.25">
      <c r="A14" s="3" t="s">
        <v>40</v>
      </c>
      <c r="B14" s="3">
        <v>1</v>
      </c>
      <c r="C14" s="1" t="s">
        <v>13</v>
      </c>
      <c r="D14" s="4">
        <v>17</v>
      </c>
      <c r="E14" s="4">
        <v>17</v>
      </c>
    </row>
    <row r="15" spans="1:5" x14ac:dyDescent="0.25">
      <c r="A15" s="3"/>
      <c r="B15" s="3"/>
      <c r="C15" s="1"/>
      <c r="D15" s="4"/>
      <c r="E15" s="4"/>
    </row>
    <row r="16" spans="1:5" ht="18.75" x14ac:dyDescent="0.25">
      <c r="A16" s="46" t="s">
        <v>15</v>
      </c>
      <c r="B16" s="47"/>
      <c r="C16" s="47"/>
      <c r="D16" s="48"/>
      <c r="E16" s="11">
        <f>SUM(E13:E15)</f>
        <v>17</v>
      </c>
    </row>
    <row r="17" spans="1:6" ht="15.75" x14ac:dyDescent="0.25">
      <c r="A17" s="49" t="s">
        <v>41</v>
      </c>
      <c r="B17" s="50"/>
      <c r="C17" s="50"/>
      <c r="D17" s="51"/>
      <c r="E17" s="13">
        <f>SUM(E16,E11)*61%</f>
        <v>27.492699999999999</v>
      </c>
    </row>
    <row r="18" spans="1:6" ht="18.75" x14ac:dyDescent="0.25">
      <c r="A18" s="46" t="s">
        <v>14</v>
      </c>
      <c r="B18" s="47"/>
      <c r="C18" s="47"/>
      <c r="D18" s="48"/>
      <c r="E18" s="11">
        <f>SUM(E17,E16,E11)</f>
        <v>72.562700000000007</v>
      </c>
    </row>
    <row r="19" spans="1:6" ht="15.75" x14ac:dyDescent="0.25">
      <c r="A19" s="52" t="s">
        <v>16</v>
      </c>
      <c r="B19" s="53"/>
      <c r="C19" s="53"/>
      <c r="D19" s="54"/>
      <c r="E19" s="25">
        <f>(E20-E18)/E18</f>
        <v>4.3746621887002544</v>
      </c>
    </row>
    <row r="20" spans="1:6" ht="18.75" x14ac:dyDescent="0.25">
      <c r="A20" s="44" t="s">
        <v>17</v>
      </c>
      <c r="B20" s="44"/>
      <c r="C20" s="44"/>
      <c r="D20" s="44"/>
      <c r="E20" s="11">
        <v>390</v>
      </c>
      <c r="F20" s="24"/>
    </row>
    <row r="23" spans="1:6" x14ac:dyDescent="0.25">
      <c r="A23" s="3" t="s">
        <v>88</v>
      </c>
      <c r="B23" s="31"/>
    </row>
  </sheetData>
  <sortState xmlns:xlrd2="http://schemas.microsoft.com/office/spreadsheetml/2017/richdata2" ref="A6:E10">
    <sortCondition ref="A5"/>
  </sortState>
  <mergeCells count="7">
    <mergeCell ref="A20:D20"/>
    <mergeCell ref="A1:E2"/>
    <mergeCell ref="A11:D11"/>
    <mergeCell ref="A16:D16"/>
    <mergeCell ref="A17:D17"/>
    <mergeCell ref="A18:D18"/>
    <mergeCell ref="A19:D19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3"/>
  <sheetViews>
    <sheetView workbookViewId="0">
      <selection activeCell="E7" sqref="E7"/>
    </sheetView>
  </sheetViews>
  <sheetFormatPr defaultRowHeight="15" x14ac:dyDescent="0.25"/>
  <cols>
    <col min="1" max="1" width="24.85546875" bestFit="1" customWidth="1"/>
    <col min="2" max="2" width="11.42578125" bestFit="1" customWidth="1"/>
    <col min="3" max="3" width="8.5703125" bestFit="1" customWidth="1"/>
    <col min="4" max="4" width="13.85546875" bestFit="1" customWidth="1"/>
    <col min="5" max="5" width="18.140625" bestFit="1" customWidth="1"/>
  </cols>
  <sheetData>
    <row r="1" spans="1:5" x14ac:dyDescent="0.25">
      <c r="A1" s="45" t="s">
        <v>57</v>
      </c>
      <c r="B1" s="45"/>
      <c r="C1" s="45"/>
      <c r="D1" s="45"/>
      <c r="E1" s="45"/>
    </row>
    <row r="2" spans="1:5" x14ac:dyDescent="0.25">
      <c r="A2" s="45"/>
      <c r="B2" s="45"/>
      <c r="C2" s="45"/>
      <c r="D2" s="45"/>
      <c r="E2" s="45"/>
    </row>
    <row r="3" spans="1:5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</row>
    <row r="4" spans="1:5" x14ac:dyDescent="0.25">
      <c r="A4" s="31" t="s">
        <v>37</v>
      </c>
      <c r="B4" s="1">
        <v>2</v>
      </c>
      <c r="C4" s="1" t="s">
        <v>10</v>
      </c>
      <c r="D4" s="4">
        <v>10.16</v>
      </c>
      <c r="E4" s="4">
        <f>B4*D4</f>
        <v>20.32</v>
      </c>
    </row>
    <row r="5" spans="1:5" x14ac:dyDescent="0.25">
      <c r="A5" s="5" t="s">
        <v>51</v>
      </c>
      <c r="B5" s="6">
        <v>7</v>
      </c>
      <c r="C5" s="6" t="s">
        <v>4</v>
      </c>
      <c r="D5" s="7">
        <v>0.16</v>
      </c>
      <c r="E5" s="7">
        <f t="shared" ref="E5" si="0">B5*D5</f>
        <v>1.1200000000000001</v>
      </c>
    </row>
    <row r="6" spans="1:5" x14ac:dyDescent="0.25">
      <c r="A6" s="3" t="s">
        <v>43</v>
      </c>
      <c r="B6" s="1">
        <v>1</v>
      </c>
      <c r="C6" s="1" t="s">
        <v>4</v>
      </c>
      <c r="D6" s="4">
        <v>4.75</v>
      </c>
      <c r="E6" s="4">
        <f>B6*D6</f>
        <v>4.75</v>
      </c>
    </row>
    <row r="7" spans="1:5" x14ac:dyDescent="0.25">
      <c r="A7" s="3" t="s">
        <v>84</v>
      </c>
      <c r="B7" s="1">
        <v>1</v>
      </c>
      <c r="C7" s="1" t="s">
        <v>4</v>
      </c>
      <c r="D7" s="4">
        <v>0.27</v>
      </c>
      <c r="E7" s="4">
        <f>B7*D7</f>
        <v>0.27</v>
      </c>
    </row>
    <row r="8" spans="1:5" x14ac:dyDescent="0.25">
      <c r="A8" s="3" t="s">
        <v>11</v>
      </c>
      <c r="B8" s="1">
        <v>10</v>
      </c>
      <c r="C8" s="1" t="s">
        <v>10</v>
      </c>
      <c r="D8" s="4">
        <v>0.04</v>
      </c>
      <c r="E8" s="4">
        <f>B8*D8</f>
        <v>0.4</v>
      </c>
    </row>
    <row r="9" spans="1:5" x14ac:dyDescent="0.25">
      <c r="A9" s="3" t="s">
        <v>18</v>
      </c>
      <c r="B9" s="1">
        <v>1</v>
      </c>
      <c r="C9" s="1" t="s">
        <v>4</v>
      </c>
      <c r="D9" s="4">
        <v>0.69</v>
      </c>
      <c r="E9" s="4">
        <f>B9*D9</f>
        <v>0.69</v>
      </c>
    </row>
    <row r="10" spans="1:5" x14ac:dyDescent="0.25">
      <c r="A10" s="3" t="s">
        <v>85</v>
      </c>
      <c r="B10" s="1">
        <v>1</v>
      </c>
      <c r="C10" s="1" t="s">
        <v>86</v>
      </c>
      <c r="D10" s="4">
        <v>0.36</v>
      </c>
      <c r="E10" s="4">
        <f>B10*D10</f>
        <v>0.36</v>
      </c>
    </row>
    <row r="11" spans="1:5" ht="18.75" x14ac:dyDescent="0.25">
      <c r="A11" s="46" t="s">
        <v>12</v>
      </c>
      <c r="B11" s="47"/>
      <c r="C11" s="47"/>
      <c r="D11" s="48"/>
      <c r="E11" s="11">
        <f>SUM(E4:E10)</f>
        <v>27.91</v>
      </c>
    </row>
    <row r="12" spans="1:5" ht="18.75" x14ac:dyDescent="0.25">
      <c r="A12" s="10"/>
      <c r="B12" s="10"/>
      <c r="C12" s="10"/>
      <c r="D12" s="11"/>
      <c r="E12" s="11"/>
    </row>
    <row r="13" spans="1:5" x14ac:dyDescent="0.25">
      <c r="A13" s="3"/>
      <c r="B13" s="3"/>
      <c r="C13" s="1"/>
      <c r="D13" s="4"/>
      <c r="E13" s="4"/>
    </row>
    <row r="14" spans="1:5" x14ac:dyDescent="0.25">
      <c r="A14" s="3" t="s">
        <v>40</v>
      </c>
      <c r="B14" s="3">
        <v>1</v>
      </c>
      <c r="C14" s="1" t="s">
        <v>13</v>
      </c>
      <c r="D14" s="4">
        <v>17</v>
      </c>
      <c r="E14" s="4">
        <v>17</v>
      </c>
    </row>
    <row r="15" spans="1:5" x14ac:dyDescent="0.25">
      <c r="A15" s="3"/>
      <c r="B15" s="3"/>
      <c r="C15" s="1"/>
      <c r="D15" s="4"/>
      <c r="E15" s="4"/>
    </row>
    <row r="16" spans="1:5" ht="18.75" x14ac:dyDescent="0.25">
      <c r="A16" s="46" t="s">
        <v>15</v>
      </c>
      <c r="B16" s="47"/>
      <c r="C16" s="47"/>
      <c r="D16" s="48"/>
      <c r="E16" s="11">
        <f>SUM(E13:E15)</f>
        <v>17</v>
      </c>
    </row>
    <row r="17" spans="1:6" ht="15.75" x14ac:dyDescent="0.25">
      <c r="A17" s="49" t="s">
        <v>41</v>
      </c>
      <c r="B17" s="50"/>
      <c r="C17" s="50"/>
      <c r="D17" s="51"/>
      <c r="E17" s="13">
        <f>SUM(E16,E11)*61%</f>
        <v>27.395099999999996</v>
      </c>
    </row>
    <row r="18" spans="1:6" ht="18.75" x14ac:dyDescent="0.25">
      <c r="A18" s="46" t="s">
        <v>14</v>
      </c>
      <c r="B18" s="47"/>
      <c r="C18" s="47"/>
      <c r="D18" s="48"/>
      <c r="E18" s="11">
        <f>SUM(E17,E16,E11)</f>
        <v>72.305099999999996</v>
      </c>
    </row>
    <row r="19" spans="1:6" ht="15.75" x14ac:dyDescent="0.25">
      <c r="A19" s="52" t="s">
        <v>16</v>
      </c>
      <c r="B19" s="53"/>
      <c r="C19" s="53"/>
      <c r="D19" s="54"/>
      <c r="E19" s="25">
        <f>(E20-E18)/E18</f>
        <v>2.0426622741687659</v>
      </c>
    </row>
    <row r="20" spans="1:6" ht="18.75" x14ac:dyDescent="0.25">
      <c r="A20" s="44" t="s">
        <v>17</v>
      </c>
      <c r="B20" s="44"/>
      <c r="C20" s="44"/>
      <c r="D20" s="44"/>
      <c r="E20" s="11">
        <v>220</v>
      </c>
      <c r="F20" s="24"/>
    </row>
    <row r="22" spans="1:6" x14ac:dyDescent="0.25">
      <c r="A22" s="27" t="s">
        <v>89</v>
      </c>
      <c r="B22" s="28"/>
      <c r="C22" s="28"/>
      <c r="D22" s="35"/>
    </row>
    <row r="23" spans="1:6" x14ac:dyDescent="0.25">
      <c r="A23" s="33" t="s">
        <v>88</v>
      </c>
      <c r="B23" s="34"/>
    </row>
  </sheetData>
  <sortState xmlns:xlrd2="http://schemas.microsoft.com/office/spreadsheetml/2017/richdata2" ref="A6:E10">
    <sortCondition ref="A5"/>
  </sortState>
  <mergeCells count="7">
    <mergeCell ref="A20:D20"/>
    <mergeCell ref="A1:E2"/>
    <mergeCell ref="A11:D11"/>
    <mergeCell ref="A16:D16"/>
    <mergeCell ref="A17:D17"/>
    <mergeCell ref="A18:D18"/>
    <mergeCell ref="A19:D19"/>
  </mergeCells>
  <pageMargins left="0.511811024" right="0.511811024" top="0.78740157499999996" bottom="0.78740157499999996" header="0.31496062000000002" footer="0.31496062000000002"/>
  <pageSetup paperSize="9" fitToHeight="0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workbookViewId="0">
      <selection activeCell="E8" sqref="E8"/>
    </sheetView>
  </sheetViews>
  <sheetFormatPr defaultRowHeight="15" x14ac:dyDescent="0.25"/>
  <cols>
    <col min="1" max="1" width="24.85546875" bestFit="1" customWidth="1"/>
    <col min="2" max="2" width="11.42578125" bestFit="1" customWidth="1"/>
    <col min="3" max="3" width="8.5703125" bestFit="1" customWidth="1"/>
    <col min="4" max="4" width="13.85546875" bestFit="1" customWidth="1"/>
    <col min="5" max="5" width="14.5703125" bestFit="1" customWidth="1"/>
    <col min="6" max="6" width="10.140625" style="24" customWidth="1"/>
  </cols>
  <sheetData>
    <row r="1" spans="1:5" x14ac:dyDescent="0.25">
      <c r="A1" s="45" t="s">
        <v>28</v>
      </c>
      <c r="B1" s="45"/>
      <c r="C1" s="45"/>
      <c r="D1" s="45"/>
      <c r="E1" s="45"/>
    </row>
    <row r="2" spans="1:5" x14ac:dyDescent="0.25">
      <c r="A2" s="45"/>
      <c r="B2" s="45"/>
      <c r="C2" s="45"/>
      <c r="D2" s="45"/>
      <c r="E2" s="45"/>
    </row>
    <row r="3" spans="1:5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</row>
    <row r="4" spans="1:5" x14ac:dyDescent="0.25">
      <c r="A4" s="31" t="s">
        <v>8</v>
      </c>
      <c r="B4" s="6">
        <v>2</v>
      </c>
      <c r="C4" s="6" t="s">
        <v>10</v>
      </c>
      <c r="D4" s="7">
        <v>14.26</v>
      </c>
      <c r="E4" s="7">
        <f t="shared" ref="E4:E11" si="0">B4*D4</f>
        <v>28.52</v>
      </c>
    </row>
    <row r="5" spans="1:5" x14ac:dyDescent="0.25">
      <c r="A5" s="31" t="s">
        <v>111</v>
      </c>
      <c r="B5" s="6">
        <v>10</v>
      </c>
      <c r="C5" s="6" t="s">
        <v>4</v>
      </c>
      <c r="D5" s="7">
        <v>1.1499999999999999</v>
      </c>
      <c r="E5" s="7">
        <f t="shared" si="0"/>
        <v>11.5</v>
      </c>
    </row>
    <row r="6" spans="1:5" x14ac:dyDescent="0.25">
      <c r="A6" s="3" t="s">
        <v>43</v>
      </c>
      <c r="B6" s="1">
        <v>1</v>
      </c>
      <c r="C6" s="1" t="s">
        <v>4</v>
      </c>
      <c r="D6" s="4">
        <v>4.75</v>
      </c>
      <c r="E6" s="4">
        <f t="shared" si="0"/>
        <v>4.75</v>
      </c>
    </row>
    <row r="7" spans="1:5" x14ac:dyDescent="0.25">
      <c r="A7" s="5" t="s">
        <v>29</v>
      </c>
      <c r="B7" s="6">
        <v>0.2</v>
      </c>
      <c r="C7" s="6" t="s">
        <v>4</v>
      </c>
      <c r="D7" s="7">
        <v>0.93</v>
      </c>
      <c r="E7" s="7">
        <f t="shared" si="0"/>
        <v>0.18600000000000003</v>
      </c>
    </row>
    <row r="8" spans="1:5" x14ac:dyDescent="0.25">
      <c r="A8" s="3" t="s">
        <v>84</v>
      </c>
      <c r="B8" s="1">
        <v>1</v>
      </c>
      <c r="C8" s="1" t="s">
        <v>4</v>
      </c>
      <c r="D8" s="4">
        <v>0.27</v>
      </c>
      <c r="E8" s="4">
        <f t="shared" si="0"/>
        <v>0.27</v>
      </c>
    </row>
    <row r="9" spans="1:5" x14ac:dyDescent="0.25">
      <c r="A9" s="5" t="s">
        <v>11</v>
      </c>
      <c r="B9" s="6">
        <v>10</v>
      </c>
      <c r="C9" s="6" t="s">
        <v>10</v>
      </c>
      <c r="D9" s="7">
        <v>0.04</v>
      </c>
      <c r="E9" s="7">
        <f t="shared" si="0"/>
        <v>0.4</v>
      </c>
    </row>
    <row r="10" spans="1:5" x14ac:dyDescent="0.25">
      <c r="A10" s="5" t="s">
        <v>18</v>
      </c>
      <c r="B10" s="6">
        <v>1</v>
      </c>
      <c r="C10" s="6" t="s">
        <v>4</v>
      </c>
      <c r="D10" s="4">
        <v>0.69</v>
      </c>
      <c r="E10" s="7">
        <f t="shared" si="0"/>
        <v>0.69</v>
      </c>
    </row>
    <row r="11" spans="1:5" x14ac:dyDescent="0.25">
      <c r="A11" s="3" t="s">
        <v>85</v>
      </c>
      <c r="B11" s="1">
        <v>1</v>
      </c>
      <c r="C11" s="1" t="s">
        <v>86</v>
      </c>
      <c r="D11" s="4">
        <v>0.36</v>
      </c>
      <c r="E11" s="4">
        <f t="shared" si="0"/>
        <v>0.36</v>
      </c>
    </row>
    <row r="12" spans="1:5" ht="30" customHeight="1" x14ac:dyDescent="0.25">
      <c r="A12" s="46" t="s">
        <v>12</v>
      </c>
      <c r="B12" s="47"/>
      <c r="C12" s="47"/>
      <c r="D12" s="48"/>
      <c r="E12" s="11">
        <f>SUM(E4:E11)</f>
        <v>46.675999999999995</v>
      </c>
    </row>
    <row r="13" spans="1:5" ht="15" customHeight="1" x14ac:dyDescent="0.25">
      <c r="A13" s="19"/>
      <c r="B13" s="20"/>
      <c r="C13" s="20"/>
      <c r="D13" s="21"/>
      <c r="E13" s="11"/>
    </row>
    <row r="14" spans="1:5" x14ac:dyDescent="0.25">
      <c r="A14" s="3"/>
      <c r="B14" s="3"/>
      <c r="C14" s="1" t="s">
        <v>13</v>
      </c>
      <c r="D14" s="4"/>
      <c r="E14" s="4">
        <f>B14*D14</f>
        <v>0</v>
      </c>
    </row>
    <row r="15" spans="1:5" x14ac:dyDescent="0.25">
      <c r="A15" s="3" t="s">
        <v>40</v>
      </c>
      <c r="B15" s="3">
        <v>1</v>
      </c>
      <c r="C15" s="1" t="s">
        <v>13</v>
      </c>
      <c r="D15" s="4">
        <v>17</v>
      </c>
      <c r="E15" s="4">
        <v>17</v>
      </c>
    </row>
    <row r="16" spans="1:5" x14ac:dyDescent="0.25">
      <c r="A16" s="3"/>
      <c r="B16" s="3"/>
      <c r="C16" s="1" t="s">
        <v>13</v>
      </c>
      <c r="D16" s="4"/>
      <c r="E16" s="4">
        <f t="shared" ref="E16" si="1">B16*D16</f>
        <v>0</v>
      </c>
    </row>
    <row r="17" spans="1:5" ht="30" customHeight="1" x14ac:dyDescent="0.25">
      <c r="A17" s="44" t="s">
        <v>15</v>
      </c>
      <c r="B17" s="44"/>
      <c r="C17" s="44"/>
      <c r="D17" s="44"/>
      <c r="E17" s="11">
        <v>17</v>
      </c>
    </row>
    <row r="18" spans="1:5" ht="15.75" x14ac:dyDescent="0.25">
      <c r="A18" s="49" t="s">
        <v>41</v>
      </c>
      <c r="B18" s="50"/>
      <c r="C18" s="50"/>
      <c r="D18" s="51"/>
      <c r="E18" s="13">
        <f>SUM(E17,E12)*61%</f>
        <v>38.842359999999999</v>
      </c>
    </row>
    <row r="19" spans="1:5" ht="30" customHeight="1" x14ac:dyDescent="0.25">
      <c r="A19" s="44" t="s">
        <v>14</v>
      </c>
      <c r="B19" s="44"/>
      <c r="C19" s="44"/>
      <c r="D19" s="44"/>
      <c r="E19" s="11">
        <f>SUM(E12,E17,E18)</f>
        <v>102.51836</v>
      </c>
    </row>
    <row r="20" spans="1:5" ht="15.75" x14ac:dyDescent="0.25">
      <c r="A20" s="55" t="s">
        <v>16</v>
      </c>
      <c r="B20" s="55"/>
      <c r="C20" s="55"/>
      <c r="D20" s="55"/>
      <c r="E20" s="12">
        <f>(E21-E19)/E19</f>
        <v>2.852968385370191</v>
      </c>
    </row>
    <row r="21" spans="1:5" ht="30" customHeight="1" x14ac:dyDescent="0.25">
      <c r="A21" s="44" t="s">
        <v>17</v>
      </c>
      <c r="B21" s="44"/>
      <c r="C21" s="44"/>
      <c r="D21" s="44"/>
      <c r="E21" s="11">
        <v>395</v>
      </c>
    </row>
    <row r="23" spans="1:5" x14ac:dyDescent="0.25">
      <c r="A23" s="3" t="s">
        <v>88</v>
      </c>
      <c r="B23" s="31"/>
    </row>
    <row r="24" spans="1:5" x14ac:dyDescent="0.25">
      <c r="A24" s="38">
        <v>44509</v>
      </c>
    </row>
    <row r="25" spans="1:5" x14ac:dyDescent="0.25">
      <c r="A25" s="39" t="s">
        <v>109</v>
      </c>
    </row>
    <row r="26" spans="1:5" x14ac:dyDescent="0.25">
      <c r="A26" s="33" t="s">
        <v>110</v>
      </c>
    </row>
  </sheetData>
  <sortState xmlns:xlrd2="http://schemas.microsoft.com/office/spreadsheetml/2017/richdata2" ref="A5:E11">
    <sortCondition ref="A5"/>
  </sortState>
  <mergeCells count="7">
    <mergeCell ref="A21:D21"/>
    <mergeCell ref="A1:E2"/>
    <mergeCell ref="A12:D12"/>
    <mergeCell ref="A17:D17"/>
    <mergeCell ref="A18:D18"/>
    <mergeCell ref="A19:D19"/>
    <mergeCell ref="A20:D20"/>
  </mergeCells>
  <pageMargins left="0.25" right="0.25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8"/>
  <sheetViews>
    <sheetView topLeftCell="A19" workbookViewId="0">
      <selection activeCell="E29" sqref="E29"/>
    </sheetView>
  </sheetViews>
  <sheetFormatPr defaultRowHeight="15" x14ac:dyDescent="0.25"/>
  <cols>
    <col min="1" max="1" width="24.85546875" bestFit="1" customWidth="1"/>
    <col min="2" max="2" width="11.42578125" bestFit="1" customWidth="1"/>
    <col min="3" max="3" width="8.5703125" bestFit="1" customWidth="1"/>
    <col min="4" max="4" width="13.85546875" bestFit="1" customWidth="1"/>
    <col min="5" max="5" width="18.140625" bestFit="1" customWidth="1"/>
  </cols>
  <sheetData>
    <row r="1" spans="1:5" x14ac:dyDescent="0.25">
      <c r="A1" s="45" t="s">
        <v>115</v>
      </c>
      <c r="B1" s="45"/>
      <c r="C1" s="45"/>
      <c r="D1" s="45"/>
      <c r="E1" s="45"/>
    </row>
    <row r="2" spans="1:5" x14ac:dyDescent="0.25">
      <c r="A2" s="45"/>
      <c r="B2" s="45"/>
      <c r="C2" s="45"/>
      <c r="D2" s="45"/>
      <c r="E2" s="45"/>
    </row>
    <row r="3" spans="1:5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</row>
    <row r="4" spans="1:5" x14ac:dyDescent="0.25">
      <c r="A4" s="31" t="s">
        <v>37</v>
      </c>
      <c r="B4" s="1">
        <v>2</v>
      </c>
      <c r="C4" s="1" t="s">
        <v>10</v>
      </c>
      <c r="D4" s="4">
        <v>10.16</v>
      </c>
      <c r="E4" s="4">
        <f>B4*D4</f>
        <v>20.32</v>
      </c>
    </row>
    <row r="5" spans="1:5" x14ac:dyDescent="0.25">
      <c r="A5" s="31" t="s">
        <v>54</v>
      </c>
      <c r="B5" s="6">
        <v>1</v>
      </c>
      <c r="C5" s="6" t="s">
        <v>4</v>
      </c>
      <c r="D5" s="7">
        <v>6.39</v>
      </c>
      <c r="E5" s="7">
        <f t="shared" ref="E5" si="0">B5*D5</f>
        <v>6.39</v>
      </c>
    </row>
    <row r="6" spans="1:5" x14ac:dyDescent="0.25">
      <c r="A6" s="3" t="s">
        <v>43</v>
      </c>
      <c r="B6" s="1">
        <v>1</v>
      </c>
      <c r="C6" s="1" t="s">
        <v>4</v>
      </c>
      <c r="D6" s="4">
        <v>4.75</v>
      </c>
      <c r="E6" s="4">
        <f>B6*D6</f>
        <v>4.75</v>
      </c>
    </row>
    <row r="7" spans="1:5" x14ac:dyDescent="0.25">
      <c r="A7" t="s">
        <v>84</v>
      </c>
      <c r="B7" s="1">
        <v>1</v>
      </c>
      <c r="C7" s="1" t="s">
        <v>4</v>
      </c>
      <c r="D7" s="4">
        <v>0.27</v>
      </c>
      <c r="E7" s="4">
        <f>B7*D7</f>
        <v>0.27</v>
      </c>
    </row>
    <row r="8" spans="1:5" x14ac:dyDescent="0.25">
      <c r="A8" s="3" t="s">
        <v>11</v>
      </c>
      <c r="B8" s="1">
        <v>10</v>
      </c>
      <c r="C8" s="1" t="s">
        <v>10</v>
      </c>
      <c r="D8" s="4">
        <v>0.04</v>
      </c>
      <c r="E8" s="4">
        <f>B8*D8</f>
        <v>0.4</v>
      </c>
    </row>
    <row r="9" spans="1:5" x14ac:dyDescent="0.25">
      <c r="A9" s="3" t="s">
        <v>18</v>
      </c>
      <c r="B9" s="1">
        <v>1</v>
      </c>
      <c r="C9" s="1" t="s">
        <v>4</v>
      </c>
      <c r="D9" s="4">
        <v>0.69</v>
      </c>
      <c r="E9" s="4">
        <f>B9*D9</f>
        <v>0.69</v>
      </c>
    </row>
    <row r="10" spans="1:5" x14ac:dyDescent="0.25">
      <c r="A10" s="31" t="s">
        <v>24</v>
      </c>
      <c r="B10" s="18">
        <v>0.6</v>
      </c>
      <c r="C10" s="3" t="s">
        <v>45</v>
      </c>
      <c r="D10" s="4">
        <v>1.02</v>
      </c>
      <c r="E10" s="4">
        <v>6</v>
      </c>
    </row>
    <row r="11" spans="1:5" x14ac:dyDescent="0.25">
      <c r="A11" s="3" t="s">
        <v>85</v>
      </c>
      <c r="B11" s="1">
        <v>1</v>
      </c>
      <c r="C11" s="1" t="s">
        <v>86</v>
      </c>
      <c r="D11" s="4">
        <v>0.36</v>
      </c>
      <c r="E11" s="4">
        <f>B11*D11</f>
        <v>0.36</v>
      </c>
    </row>
    <row r="12" spans="1:5" ht="18.75" x14ac:dyDescent="0.25">
      <c r="A12" s="46" t="s">
        <v>12</v>
      </c>
      <c r="B12" s="47"/>
      <c r="C12" s="47"/>
      <c r="D12" s="48"/>
      <c r="E12" s="11">
        <f>SUM(E4:E11)</f>
        <v>39.18</v>
      </c>
    </row>
    <row r="13" spans="1:5" ht="18.75" x14ac:dyDescent="0.25">
      <c r="A13" s="10"/>
      <c r="B13" s="10"/>
      <c r="C13" s="10"/>
      <c r="D13" s="11"/>
      <c r="E13" s="11"/>
    </row>
    <row r="14" spans="1:5" x14ac:dyDescent="0.25">
      <c r="A14" s="3"/>
      <c r="B14" s="3"/>
      <c r="C14" s="1"/>
      <c r="D14" s="4"/>
      <c r="E14" s="4"/>
    </row>
    <row r="15" spans="1:5" x14ac:dyDescent="0.25">
      <c r="A15" s="3" t="s">
        <v>40</v>
      </c>
      <c r="B15" s="3">
        <v>1</v>
      </c>
      <c r="C15" s="1" t="s">
        <v>13</v>
      </c>
      <c r="D15" s="4">
        <v>17</v>
      </c>
      <c r="E15" s="4">
        <v>17</v>
      </c>
    </row>
    <row r="16" spans="1:5" x14ac:dyDescent="0.25">
      <c r="A16" s="3"/>
      <c r="B16" s="3"/>
      <c r="C16" s="1"/>
      <c r="D16" s="4"/>
      <c r="E16" s="4"/>
    </row>
    <row r="17" spans="1:6" ht="18.75" x14ac:dyDescent="0.25">
      <c r="A17" s="46" t="s">
        <v>15</v>
      </c>
      <c r="B17" s="47"/>
      <c r="C17" s="47"/>
      <c r="D17" s="48"/>
      <c r="E17" s="11">
        <f>SUM(E14:E16)</f>
        <v>17</v>
      </c>
    </row>
    <row r="18" spans="1:6" ht="15.75" x14ac:dyDescent="0.25">
      <c r="A18" s="49" t="s">
        <v>41</v>
      </c>
      <c r="B18" s="50"/>
      <c r="C18" s="50"/>
      <c r="D18" s="51"/>
      <c r="E18" s="13">
        <f>SUM(E17,E12)*61%</f>
        <v>34.269799999999996</v>
      </c>
    </row>
    <row r="19" spans="1:6" ht="18.75" x14ac:dyDescent="0.25">
      <c r="A19" s="46" t="s">
        <v>14</v>
      </c>
      <c r="B19" s="47"/>
      <c r="C19" s="47"/>
      <c r="D19" s="48"/>
      <c r="E19" s="11">
        <f>SUM(E18,E17,E12)</f>
        <v>90.449799999999996</v>
      </c>
      <c r="F19" s="24"/>
    </row>
    <row r="20" spans="1:6" ht="15.75" x14ac:dyDescent="0.25">
      <c r="A20" s="52" t="s">
        <v>16</v>
      </c>
      <c r="B20" s="53"/>
      <c r="C20" s="53"/>
      <c r="D20" s="54"/>
      <c r="E20" s="25">
        <f>(E21-E19)/E19</f>
        <v>1.5428469714692572</v>
      </c>
    </row>
    <row r="21" spans="1:6" ht="18.75" x14ac:dyDescent="0.25">
      <c r="A21" s="44" t="s">
        <v>17</v>
      </c>
      <c r="B21" s="44"/>
      <c r="C21" s="44"/>
      <c r="D21" s="44"/>
      <c r="E21" s="11">
        <v>230</v>
      </c>
      <c r="F21" s="24"/>
    </row>
    <row r="22" spans="1:6" ht="9.75" customHeight="1" x14ac:dyDescent="0.25"/>
    <row r="23" spans="1:6" ht="9.75" customHeight="1" x14ac:dyDescent="0.25"/>
    <row r="24" spans="1:6" x14ac:dyDescent="0.25">
      <c r="A24" s="45" t="s">
        <v>101</v>
      </c>
      <c r="B24" s="45"/>
      <c r="C24" s="45"/>
      <c r="D24" s="45"/>
      <c r="E24" s="45"/>
    </row>
    <row r="25" spans="1:6" x14ac:dyDescent="0.25">
      <c r="A25" s="45"/>
      <c r="B25" s="45"/>
      <c r="C25" s="45"/>
      <c r="D25" s="45"/>
      <c r="E25" s="45"/>
    </row>
    <row r="26" spans="1:6" x14ac:dyDescent="0.25">
      <c r="A26" s="2" t="s">
        <v>7</v>
      </c>
      <c r="B26" s="2" t="s">
        <v>3</v>
      </c>
      <c r="C26" s="2" t="s">
        <v>4</v>
      </c>
      <c r="D26" s="2" t="s">
        <v>6</v>
      </c>
      <c r="E26" s="2" t="s">
        <v>5</v>
      </c>
    </row>
    <row r="27" spans="1:6" x14ac:dyDescent="0.25">
      <c r="A27" s="31" t="s">
        <v>37</v>
      </c>
      <c r="B27" s="1">
        <v>2</v>
      </c>
      <c r="C27" s="1" t="s">
        <v>10</v>
      </c>
      <c r="D27" s="4">
        <v>10.48</v>
      </c>
      <c r="E27" s="4">
        <f>B27*D27</f>
        <v>20.96</v>
      </c>
    </row>
    <row r="28" spans="1:6" x14ac:dyDescent="0.25">
      <c r="A28" s="31" t="s">
        <v>98</v>
      </c>
      <c r="B28" s="1">
        <v>2</v>
      </c>
      <c r="C28" s="1" t="s">
        <v>10</v>
      </c>
      <c r="D28" s="4">
        <v>7.69</v>
      </c>
      <c r="E28" s="7">
        <f t="shared" ref="E28" si="1">B28*D28</f>
        <v>15.38</v>
      </c>
    </row>
    <row r="29" spans="1:6" x14ac:dyDescent="0.25">
      <c r="A29" s="31" t="s">
        <v>54</v>
      </c>
      <c r="B29" s="6">
        <v>1</v>
      </c>
      <c r="C29" s="6" t="s">
        <v>4</v>
      </c>
      <c r="D29" s="7">
        <v>6.39</v>
      </c>
      <c r="E29" s="7">
        <f t="shared" ref="E29" si="2">B29*D29</f>
        <v>6.39</v>
      </c>
    </row>
    <row r="30" spans="1:6" x14ac:dyDescent="0.25">
      <c r="A30" s="3" t="s">
        <v>43</v>
      </c>
      <c r="B30" s="1">
        <v>1</v>
      </c>
      <c r="C30" s="1" t="s">
        <v>4</v>
      </c>
      <c r="D30" s="4">
        <v>4.75</v>
      </c>
      <c r="E30" s="4">
        <f>B30*D30</f>
        <v>4.75</v>
      </c>
    </row>
    <row r="31" spans="1:6" x14ac:dyDescent="0.25">
      <c r="A31" t="s">
        <v>84</v>
      </c>
      <c r="B31" s="1">
        <v>1</v>
      </c>
      <c r="C31" s="1" t="s">
        <v>4</v>
      </c>
      <c r="D31" s="4">
        <v>0.27</v>
      </c>
      <c r="E31" s="4">
        <f>B31*D31</f>
        <v>0.27</v>
      </c>
    </row>
    <row r="32" spans="1:6" x14ac:dyDescent="0.25">
      <c r="A32" s="3" t="s">
        <v>11</v>
      </c>
      <c r="B32" s="1">
        <v>10</v>
      </c>
      <c r="C32" s="1" t="s">
        <v>10</v>
      </c>
      <c r="D32" s="4">
        <v>0.04</v>
      </c>
      <c r="E32" s="4">
        <f>B32*D32</f>
        <v>0.4</v>
      </c>
    </row>
    <row r="33" spans="1:6" x14ac:dyDescent="0.25">
      <c r="A33" s="3" t="s">
        <v>18</v>
      </c>
      <c r="B33" s="1">
        <v>1</v>
      </c>
      <c r="C33" s="1" t="s">
        <v>4</v>
      </c>
      <c r="D33" s="4">
        <v>0.69</v>
      </c>
      <c r="E33" s="4">
        <f>B33*D33</f>
        <v>0.69</v>
      </c>
    </row>
    <row r="34" spans="1:6" x14ac:dyDescent="0.25">
      <c r="A34" s="31" t="s">
        <v>24</v>
      </c>
      <c r="B34" s="18">
        <v>0.6</v>
      </c>
      <c r="C34" s="3" t="s">
        <v>45</v>
      </c>
      <c r="D34" s="4">
        <v>1.02</v>
      </c>
      <c r="E34" s="4">
        <v>6</v>
      </c>
    </row>
    <row r="35" spans="1:6" x14ac:dyDescent="0.25">
      <c r="A35" s="3" t="s">
        <v>85</v>
      </c>
      <c r="B35" s="1">
        <v>1</v>
      </c>
      <c r="C35" s="1" t="s">
        <v>86</v>
      </c>
      <c r="D35" s="4">
        <v>0.36</v>
      </c>
      <c r="E35" s="4">
        <f>B35*D35</f>
        <v>0.36</v>
      </c>
    </row>
    <row r="36" spans="1:6" ht="18.75" x14ac:dyDescent="0.25">
      <c r="A36" s="46" t="s">
        <v>12</v>
      </c>
      <c r="B36" s="47"/>
      <c r="C36" s="47"/>
      <c r="D36" s="48"/>
      <c r="E36" s="11">
        <f>SUM(E27:E35)</f>
        <v>55.2</v>
      </c>
    </row>
    <row r="37" spans="1:6" ht="18.75" x14ac:dyDescent="0.25">
      <c r="A37" s="10"/>
      <c r="B37" s="10"/>
      <c r="C37" s="10"/>
      <c r="D37" s="11"/>
      <c r="E37" s="11"/>
    </row>
    <row r="38" spans="1:6" x14ac:dyDescent="0.25">
      <c r="A38" s="3"/>
      <c r="B38" s="3"/>
      <c r="C38" s="1"/>
      <c r="D38" s="4"/>
      <c r="E38" s="4"/>
    </row>
    <row r="39" spans="1:6" x14ac:dyDescent="0.25">
      <c r="A39" s="3" t="s">
        <v>40</v>
      </c>
      <c r="B39" s="3">
        <v>1</v>
      </c>
      <c r="C39" s="1" t="s">
        <v>13</v>
      </c>
      <c r="D39" s="4">
        <v>17</v>
      </c>
      <c r="E39" s="4">
        <f t="shared" ref="E39" si="3">B39*D39</f>
        <v>17</v>
      </c>
    </row>
    <row r="40" spans="1:6" x14ac:dyDescent="0.25">
      <c r="A40" s="3"/>
      <c r="B40" s="3"/>
      <c r="C40" s="1"/>
      <c r="D40" s="4"/>
      <c r="E40" s="4"/>
    </row>
    <row r="41" spans="1:6" ht="18.75" x14ac:dyDescent="0.25">
      <c r="A41" s="46" t="s">
        <v>15</v>
      </c>
      <c r="B41" s="47"/>
      <c r="C41" s="47"/>
      <c r="D41" s="48"/>
      <c r="E41" s="11">
        <f>SUM(E38:E40)</f>
        <v>17</v>
      </c>
    </row>
    <row r="42" spans="1:6" ht="15.75" x14ac:dyDescent="0.25">
      <c r="A42" s="49" t="s">
        <v>41</v>
      </c>
      <c r="B42" s="50"/>
      <c r="C42" s="50"/>
      <c r="D42" s="51"/>
      <c r="E42" s="13">
        <f>SUM(E41,E36)*61%</f>
        <v>44.042000000000002</v>
      </c>
    </row>
    <row r="43" spans="1:6" ht="18.75" x14ac:dyDescent="0.25">
      <c r="A43" s="46" t="s">
        <v>14</v>
      </c>
      <c r="B43" s="47"/>
      <c r="C43" s="47"/>
      <c r="D43" s="48"/>
      <c r="E43" s="11">
        <f>SUM(E42,E41,E36)</f>
        <v>116.242</v>
      </c>
    </row>
    <row r="44" spans="1:6" ht="15.75" x14ac:dyDescent="0.25">
      <c r="A44" s="52" t="s">
        <v>16</v>
      </c>
      <c r="B44" s="53"/>
      <c r="C44" s="53"/>
      <c r="D44" s="54"/>
      <c r="E44" s="25">
        <f>(E45-E43)/E43</f>
        <v>1.2367130641248427</v>
      </c>
    </row>
    <row r="45" spans="1:6" ht="18.75" x14ac:dyDescent="0.25">
      <c r="A45" s="44" t="s">
        <v>17</v>
      </c>
      <c r="B45" s="44"/>
      <c r="C45" s="44"/>
      <c r="D45" s="44"/>
      <c r="E45" s="11">
        <v>260</v>
      </c>
      <c r="F45" s="24"/>
    </row>
    <row r="47" spans="1:6" x14ac:dyDescent="0.25">
      <c r="A47" s="27" t="s">
        <v>89</v>
      </c>
      <c r="B47" s="28"/>
      <c r="C47" s="28"/>
      <c r="D47" s="35"/>
    </row>
    <row r="48" spans="1:6" x14ac:dyDescent="0.25">
      <c r="A48" s="33" t="s">
        <v>88</v>
      </c>
      <c r="B48" s="34"/>
    </row>
  </sheetData>
  <sortState xmlns:xlrd2="http://schemas.microsoft.com/office/spreadsheetml/2017/richdata2" ref="A6:E11">
    <sortCondition ref="A5"/>
  </sortState>
  <mergeCells count="14">
    <mergeCell ref="A20:D20"/>
    <mergeCell ref="A1:E2"/>
    <mergeCell ref="A12:D12"/>
    <mergeCell ref="A17:D17"/>
    <mergeCell ref="A18:D18"/>
    <mergeCell ref="A19:D19"/>
    <mergeCell ref="A44:D44"/>
    <mergeCell ref="A45:D45"/>
    <mergeCell ref="A21:D21"/>
    <mergeCell ref="A24:E25"/>
    <mergeCell ref="A36:D36"/>
    <mergeCell ref="A41:D41"/>
    <mergeCell ref="A42:D42"/>
    <mergeCell ref="A43:D43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activeCell="A4" sqref="A4"/>
    </sheetView>
  </sheetViews>
  <sheetFormatPr defaultRowHeight="15" x14ac:dyDescent="0.25"/>
  <cols>
    <col min="1" max="1" width="25.85546875" bestFit="1" customWidth="1"/>
    <col min="2" max="2" width="11.42578125" bestFit="1" customWidth="1"/>
    <col min="4" max="4" width="13.85546875" bestFit="1" customWidth="1"/>
    <col min="5" max="5" width="14.5703125" bestFit="1" customWidth="1"/>
  </cols>
  <sheetData>
    <row r="1" spans="1:5" x14ac:dyDescent="0.25">
      <c r="A1" s="45" t="s">
        <v>133</v>
      </c>
      <c r="B1" s="45"/>
      <c r="C1" s="45"/>
      <c r="D1" s="45"/>
      <c r="E1" s="45"/>
    </row>
    <row r="2" spans="1:5" x14ac:dyDescent="0.25">
      <c r="A2" s="45"/>
      <c r="B2" s="45"/>
      <c r="C2" s="45"/>
      <c r="D2" s="45"/>
      <c r="E2" s="45"/>
    </row>
    <row r="3" spans="1:5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</row>
    <row r="4" spans="1:5" x14ac:dyDescent="0.25">
      <c r="A4" s="31" t="s">
        <v>134</v>
      </c>
      <c r="B4" s="6">
        <v>2.2999999999999998</v>
      </c>
      <c r="C4" s="6" t="s">
        <v>123</v>
      </c>
      <c r="D4" s="7">
        <v>17.899999999999999</v>
      </c>
      <c r="E4" s="4">
        <f t="shared" ref="E4:E10" si="0">B4*D4</f>
        <v>41.169999999999995</v>
      </c>
    </row>
    <row r="5" spans="1:5" x14ac:dyDescent="0.25">
      <c r="A5" s="3" t="s">
        <v>43</v>
      </c>
      <c r="B5" s="1">
        <v>1</v>
      </c>
      <c r="C5" s="1" t="s">
        <v>4</v>
      </c>
      <c r="D5" s="4">
        <v>4.75</v>
      </c>
      <c r="E5" s="4">
        <f t="shared" si="0"/>
        <v>4.75</v>
      </c>
    </row>
    <row r="6" spans="1:5" x14ac:dyDescent="0.25">
      <c r="A6" s="3" t="s">
        <v>84</v>
      </c>
      <c r="B6" s="1">
        <v>1</v>
      </c>
      <c r="C6" s="1" t="s">
        <v>4</v>
      </c>
      <c r="D6" s="4">
        <v>0.27</v>
      </c>
      <c r="E6" s="4">
        <f t="shared" si="0"/>
        <v>0.27</v>
      </c>
    </row>
    <row r="7" spans="1:5" x14ac:dyDescent="0.25">
      <c r="A7" s="5" t="s">
        <v>11</v>
      </c>
      <c r="B7" s="6">
        <v>10</v>
      </c>
      <c r="C7" s="6" t="s">
        <v>10</v>
      </c>
      <c r="D7" s="7">
        <v>0.04</v>
      </c>
      <c r="E7" s="7">
        <f t="shared" si="0"/>
        <v>0.4</v>
      </c>
    </row>
    <row r="8" spans="1:5" x14ac:dyDescent="0.25">
      <c r="A8" s="5" t="s">
        <v>18</v>
      </c>
      <c r="B8" s="6">
        <v>1</v>
      </c>
      <c r="C8" s="6" t="s">
        <v>4</v>
      </c>
      <c r="D8" s="7">
        <v>0.69</v>
      </c>
      <c r="E8" s="7">
        <f t="shared" si="0"/>
        <v>0.69</v>
      </c>
    </row>
    <row r="9" spans="1:5" x14ac:dyDescent="0.25">
      <c r="A9" s="3" t="s">
        <v>85</v>
      </c>
      <c r="B9" s="1">
        <v>1</v>
      </c>
      <c r="C9" s="1" t="s">
        <v>86</v>
      </c>
      <c r="D9" s="4">
        <v>0.36</v>
      </c>
      <c r="E9" s="4">
        <f t="shared" si="0"/>
        <v>0.36</v>
      </c>
    </row>
    <row r="10" spans="1:5" x14ac:dyDescent="0.25">
      <c r="A10" s="31"/>
      <c r="B10" s="6"/>
      <c r="C10" s="6"/>
      <c r="D10" s="7"/>
      <c r="E10" s="7">
        <f t="shared" si="0"/>
        <v>0</v>
      </c>
    </row>
    <row r="11" spans="1:5" ht="18.75" x14ac:dyDescent="0.25">
      <c r="A11" s="46" t="s">
        <v>12</v>
      </c>
      <c r="B11" s="47"/>
      <c r="C11" s="47"/>
      <c r="D11" s="48"/>
      <c r="E11" s="17">
        <f>SUM(E4:E10)</f>
        <v>47.639999999999993</v>
      </c>
    </row>
    <row r="12" spans="1:5" ht="18.75" x14ac:dyDescent="0.25">
      <c r="A12" s="19"/>
      <c r="B12" s="20"/>
      <c r="C12" s="20"/>
      <c r="D12" s="21"/>
      <c r="E12" s="17"/>
    </row>
    <row r="13" spans="1:5" x14ac:dyDescent="0.25">
      <c r="A13" s="3"/>
      <c r="B13" s="3"/>
      <c r="C13" s="1"/>
      <c r="D13" s="4"/>
      <c r="E13" s="4">
        <f>B13*D13</f>
        <v>0</v>
      </c>
    </row>
    <row r="14" spans="1:5" x14ac:dyDescent="0.25">
      <c r="A14" s="3" t="s">
        <v>40</v>
      </c>
      <c r="B14" s="3">
        <v>1</v>
      </c>
      <c r="C14" s="1" t="s">
        <v>13</v>
      </c>
      <c r="D14" s="4">
        <v>17</v>
      </c>
      <c r="E14" s="4">
        <v>17</v>
      </c>
    </row>
    <row r="15" spans="1:5" x14ac:dyDescent="0.25">
      <c r="A15" s="3"/>
      <c r="B15" s="3"/>
      <c r="C15" s="1"/>
      <c r="D15" s="4"/>
      <c r="E15" s="4">
        <f>B15*D15</f>
        <v>0</v>
      </c>
    </row>
    <row r="16" spans="1:5" ht="18.75" x14ac:dyDescent="0.25">
      <c r="A16" s="44" t="s">
        <v>15</v>
      </c>
      <c r="B16" s="44"/>
      <c r="C16" s="44"/>
      <c r="D16" s="44"/>
      <c r="E16" s="11">
        <f>SUM(E13:E15)</f>
        <v>17</v>
      </c>
    </row>
    <row r="17" spans="1:5" ht="15.75" x14ac:dyDescent="0.25">
      <c r="A17" s="49" t="s">
        <v>41</v>
      </c>
      <c r="B17" s="50"/>
      <c r="C17" s="50"/>
      <c r="D17" s="51"/>
      <c r="E17" s="13">
        <f>SUM(E16,E11)*61%</f>
        <v>39.430399999999992</v>
      </c>
    </row>
    <row r="18" spans="1:5" ht="18.75" x14ac:dyDescent="0.25">
      <c r="A18" s="44" t="s">
        <v>14</v>
      </c>
      <c r="B18" s="44"/>
      <c r="C18" s="44"/>
      <c r="D18" s="44"/>
      <c r="E18" s="11">
        <f>E11+E16+E17</f>
        <v>104.07039999999998</v>
      </c>
    </row>
    <row r="19" spans="1:5" ht="15.75" x14ac:dyDescent="0.25">
      <c r="A19" s="55" t="s">
        <v>16</v>
      </c>
      <c r="B19" s="55"/>
      <c r="C19" s="55"/>
      <c r="D19" s="55"/>
      <c r="E19" s="12">
        <f>(E20-E18)/E18</f>
        <v>2.9396408584957885</v>
      </c>
    </row>
    <row r="20" spans="1:5" ht="18.75" x14ac:dyDescent="0.25">
      <c r="A20" s="44" t="s">
        <v>17</v>
      </c>
      <c r="B20" s="44"/>
      <c r="C20" s="44"/>
      <c r="D20" s="44"/>
      <c r="E20" s="11">
        <v>410</v>
      </c>
    </row>
  </sheetData>
  <mergeCells count="7">
    <mergeCell ref="A20:D20"/>
    <mergeCell ref="A1:E2"/>
    <mergeCell ref="A11:D11"/>
    <mergeCell ref="A16:D16"/>
    <mergeCell ref="A17:D17"/>
    <mergeCell ref="A18:D18"/>
    <mergeCell ref="A19:D19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topLeftCell="A4" workbookViewId="0">
      <selection activeCell="D9" sqref="D9"/>
    </sheetView>
  </sheetViews>
  <sheetFormatPr defaultRowHeight="15" x14ac:dyDescent="0.25"/>
  <cols>
    <col min="1" max="1" width="24.85546875" bestFit="1" customWidth="1"/>
    <col min="2" max="2" width="11.42578125" bestFit="1" customWidth="1"/>
    <col min="3" max="3" width="8.5703125" bestFit="1" customWidth="1"/>
    <col min="4" max="4" width="13.85546875" bestFit="1" customWidth="1"/>
    <col min="5" max="5" width="14.5703125" bestFit="1" customWidth="1"/>
  </cols>
  <sheetData>
    <row r="1" spans="1:5" x14ac:dyDescent="0.25">
      <c r="A1" s="45" t="s">
        <v>22</v>
      </c>
      <c r="B1" s="45"/>
      <c r="C1" s="45"/>
      <c r="D1" s="45"/>
      <c r="E1" s="45"/>
    </row>
    <row r="2" spans="1:5" x14ac:dyDescent="0.25">
      <c r="A2" s="45"/>
      <c r="B2" s="45"/>
      <c r="C2" s="45"/>
      <c r="D2" s="45"/>
      <c r="E2" s="45"/>
    </row>
    <row r="3" spans="1:5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</row>
    <row r="4" spans="1:5" x14ac:dyDescent="0.25">
      <c r="A4" s="31" t="s">
        <v>8</v>
      </c>
      <c r="B4" s="6">
        <v>2</v>
      </c>
      <c r="C4" s="6" t="s">
        <v>10</v>
      </c>
      <c r="D4" s="7">
        <v>14.26</v>
      </c>
      <c r="E4" s="7">
        <f>B4*D4</f>
        <v>28.52</v>
      </c>
    </row>
    <row r="5" spans="1:5" x14ac:dyDescent="0.25">
      <c r="A5" s="3" t="s">
        <v>43</v>
      </c>
      <c r="B5" s="1">
        <v>1</v>
      </c>
      <c r="C5" s="1" t="s">
        <v>4</v>
      </c>
      <c r="D5" s="4">
        <v>4.75</v>
      </c>
      <c r="E5" s="4">
        <f>B5*D5</f>
        <v>4.75</v>
      </c>
    </row>
    <row r="6" spans="1:5" x14ac:dyDescent="0.25">
      <c r="A6" s="3" t="s">
        <v>84</v>
      </c>
      <c r="B6" s="1">
        <v>1</v>
      </c>
      <c r="C6" s="1" t="s">
        <v>4</v>
      </c>
      <c r="D6" s="4">
        <v>0.27</v>
      </c>
      <c r="E6" s="4">
        <f>B6*D6</f>
        <v>0.27</v>
      </c>
    </row>
    <row r="7" spans="1:5" x14ac:dyDescent="0.25">
      <c r="A7" s="5" t="s">
        <v>11</v>
      </c>
      <c r="B7" s="6">
        <v>10</v>
      </c>
      <c r="C7" s="6" t="s">
        <v>10</v>
      </c>
      <c r="D7" s="7">
        <v>0.04</v>
      </c>
      <c r="E7" s="7">
        <f>B7*D7</f>
        <v>0.4</v>
      </c>
    </row>
    <row r="8" spans="1:5" x14ac:dyDescent="0.25">
      <c r="A8" s="5" t="s">
        <v>18</v>
      </c>
      <c r="B8" s="6">
        <v>1</v>
      </c>
      <c r="C8" s="6" t="s">
        <v>4</v>
      </c>
      <c r="D8" s="7">
        <v>0.69</v>
      </c>
      <c r="E8" s="7">
        <f>B8*D8</f>
        <v>0.69</v>
      </c>
    </row>
    <row r="9" spans="1:5" x14ac:dyDescent="0.25">
      <c r="A9" s="31" t="s">
        <v>24</v>
      </c>
      <c r="B9" s="6">
        <v>0.3</v>
      </c>
      <c r="C9" s="6" t="s">
        <v>45</v>
      </c>
      <c r="D9" s="7">
        <v>1.02</v>
      </c>
      <c r="E9" s="7">
        <v>2.6</v>
      </c>
    </row>
    <row r="10" spans="1:5" x14ac:dyDescent="0.25">
      <c r="A10" s="3" t="s">
        <v>85</v>
      </c>
      <c r="B10" s="1">
        <v>1</v>
      </c>
      <c r="C10" s="1" t="s">
        <v>86</v>
      </c>
      <c r="D10" s="4">
        <v>0.36</v>
      </c>
      <c r="E10" s="4">
        <f>B10*D10</f>
        <v>0.36</v>
      </c>
    </row>
    <row r="11" spans="1:5" x14ac:dyDescent="0.25">
      <c r="A11" s="31" t="s">
        <v>23</v>
      </c>
      <c r="B11" s="6">
        <v>1</v>
      </c>
      <c r="C11" s="6" t="s">
        <v>4</v>
      </c>
      <c r="D11" s="7">
        <v>7.49</v>
      </c>
      <c r="E11" s="7">
        <f>B11*D11</f>
        <v>7.49</v>
      </c>
    </row>
    <row r="12" spans="1:5" ht="30" customHeight="1" x14ac:dyDescent="0.25">
      <c r="A12" s="46" t="s">
        <v>12</v>
      </c>
      <c r="B12" s="47"/>
      <c r="C12" s="47"/>
      <c r="D12" s="48"/>
      <c r="E12" s="11">
        <f>SUM(E4:E11)</f>
        <v>45.08</v>
      </c>
    </row>
    <row r="13" spans="1:5" ht="15" customHeight="1" x14ac:dyDescent="0.25">
      <c r="A13" s="10"/>
      <c r="B13" s="10"/>
      <c r="C13" s="10"/>
      <c r="D13" s="11"/>
      <c r="E13" s="11"/>
    </row>
    <row r="14" spans="1:5" x14ac:dyDescent="0.25">
      <c r="A14" s="3"/>
      <c r="B14" s="3"/>
      <c r="C14" s="1"/>
      <c r="D14" s="4"/>
      <c r="E14" s="4">
        <f>B14*D14</f>
        <v>0</v>
      </c>
    </row>
    <row r="15" spans="1:5" x14ac:dyDescent="0.25">
      <c r="A15" s="3" t="s">
        <v>40</v>
      </c>
      <c r="B15" s="3">
        <v>1</v>
      </c>
      <c r="C15" s="1" t="s">
        <v>13</v>
      </c>
      <c r="D15" s="4">
        <v>17</v>
      </c>
      <c r="E15" s="4">
        <v>17</v>
      </c>
    </row>
    <row r="16" spans="1:5" x14ac:dyDescent="0.25">
      <c r="A16" s="3"/>
      <c r="B16" s="3"/>
      <c r="C16" s="1"/>
      <c r="D16" s="4"/>
      <c r="E16" s="4">
        <f t="shared" ref="E16" si="0">B16*D16</f>
        <v>0</v>
      </c>
    </row>
    <row r="17" spans="1:6" ht="30" customHeight="1" x14ac:dyDescent="0.25">
      <c r="A17" s="46" t="s">
        <v>15</v>
      </c>
      <c r="B17" s="47"/>
      <c r="C17" s="47"/>
      <c r="D17" s="48"/>
      <c r="E17" s="11">
        <v>17</v>
      </c>
    </row>
    <row r="18" spans="1:6" ht="15.75" x14ac:dyDescent="0.25">
      <c r="A18" s="49" t="s">
        <v>41</v>
      </c>
      <c r="B18" s="50"/>
      <c r="C18" s="50"/>
      <c r="D18" s="51"/>
      <c r="E18" s="13">
        <f>SUM(E17,E12)*61%</f>
        <v>37.8688</v>
      </c>
    </row>
    <row r="19" spans="1:6" ht="30" customHeight="1" x14ac:dyDescent="0.25">
      <c r="A19" s="44" t="s">
        <v>14</v>
      </c>
      <c r="B19" s="44"/>
      <c r="C19" s="44"/>
      <c r="D19" s="44"/>
      <c r="E19" s="11">
        <f>SUM(E18,E17,E12)</f>
        <v>99.948800000000006</v>
      </c>
    </row>
    <row r="20" spans="1:6" ht="15.75" x14ac:dyDescent="0.25">
      <c r="A20" s="55" t="s">
        <v>16</v>
      </c>
      <c r="B20" s="55"/>
      <c r="C20" s="55"/>
      <c r="D20" s="55"/>
      <c r="E20" s="12">
        <f>(E21-E19)/E19</f>
        <v>2.0015367868348592</v>
      </c>
    </row>
    <row r="21" spans="1:6" ht="30" customHeight="1" x14ac:dyDescent="0.25">
      <c r="A21" s="44" t="s">
        <v>17</v>
      </c>
      <c r="B21" s="44"/>
      <c r="C21" s="44"/>
      <c r="D21" s="44"/>
      <c r="E21" s="11">
        <v>300</v>
      </c>
      <c r="F21" s="24"/>
    </row>
    <row r="23" spans="1:6" x14ac:dyDescent="0.25">
      <c r="A23" s="3" t="s">
        <v>88</v>
      </c>
      <c r="B23" s="31"/>
    </row>
  </sheetData>
  <sortState xmlns:xlrd2="http://schemas.microsoft.com/office/spreadsheetml/2017/richdata2" ref="A5:E11">
    <sortCondition ref="A5"/>
  </sortState>
  <mergeCells count="7">
    <mergeCell ref="A1:E2"/>
    <mergeCell ref="A20:D20"/>
    <mergeCell ref="A21:D21"/>
    <mergeCell ref="A12:D12"/>
    <mergeCell ref="A17:D17"/>
    <mergeCell ref="A19:D19"/>
    <mergeCell ref="A18:D18"/>
  </mergeCells>
  <pageMargins left="0.25" right="0.25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23"/>
  <sheetViews>
    <sheetView workbookViewId="0">
      <selection activeCell="H17" sqref="H17"/>
    </sheetView>
  </sheetViews>
  <sheetFormatPr defaultRowHeight="15" x14ac:dyDescent="0.25"/>
  <cols>
    <col min="1" max="1" width="24.85546875" bestFit="1" customWidth="1"/>
    <col min="2" max="2" width="11.42578125" bestFit="1" customWidth="1"/>
    <col min="3" max="3" width="8.5703125" bestFit="1" customWidth="1"/>
    <col min="4" max="4" width="13.85546875" bestFit="1" customWidth="1"/>
    <col min="5" max="5" width="14.5703125" bestFit="1" customWidth="1"/>
  </cols>
  <sheetData>
    <row r="1" spans="1:5" x14ac:dyDescent="0.25">
      <c r="A1" s="45" t="s">
        <v>21</v>
      </c>
      <c r="B1" s="45"/>
      <c r="C1" s="45"/>
      <c r="D1" s="45"/>
      <c r="E1" s="45"/>
    </row>
    <row r="2" spans="1:5" x14ac:dyDescent="0.25">
      <c r="A2" s="45"/>
      <c r="B2" s="45"/>
      <c r="C2" s="45"/>
      <c r="D2" s="45"/>
      <c r="E2" s="45"/>
    </row>
    <row r="3" spans="1:5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</row>
    <row r="4" spans="1:5" x14ac:dyDescent="0.25">
      <c r="A4" s="31" t="s">
        <v>8</v>
      </c>
      <c r="B4" s="6">
        <v>2</v>
      </c>
      <c r="C4" s="6" t="s">
        <v>10</v>
      </c>
      <c r="D4" s="7">
        <v>14.26</v>
      </c>
      <c r="E4" s="7">
        <f t="shared" ref="E4:E11" si="0">B4*D4</f>
        <v>28.52</v>
      </c>
    </row>
    <row r="5" spans="1:5" x14ac:dyDescent="0.25">
      <c r="A5" s="31" t="s">
        <v>20</v>
      </c>
      <c r="B5" s="6">
        <v>2</v>
      </c>
      <c r="C5" s="6" t="s">
        <v>4</v>
      </c>
      <c r="D5" s="7">
        <v>0.16</v>
      </c>
      <c r="E5" s="7">
        <f t="shared" si="0"/>
        <v>0.32</v>
      </c>
    </row>
    <row r="6" spans="1:5" x14ac:dyDescent="0.25">
      <c r="A6" s="31" t="s">
        <v>19</v>
      </c>
      <c r="B6" s="6">
        <v>3</v>
      </c>
      <c r="C6" s="6" t="s">
        <v>4</v>
      </c>
      <c r="D6" s="7">
        <v>0.64</v>
      </c>
      <c r="E6" s="7">
        <f t="shared" si="0"/>
        <v>1.92</v>
      </c>
    </row>
    <row r="7" spans="1:5" x14ac:dyDescent="0.25">
      <c r="A7" s="3" t="s">
        <v>43</v>
      </c>
      <c r="B7" s="1">
        <v>1</v>
      </c>
      <c r="C7" s="1" t="s">
        <v>4</v>
      </c>
      <c r="D7" s="4">
        <v>4.75</v>
      </c>
      <c r="E7" s="4">
        <f t="shared" si="0"/>
        <v>4.75</v>
      </c>
    </row>
    <row r="8" spans="1:5" x14ac:dyDescent="0.25">
      <c r="A8" s="3" t="s">
        <v>84</v>
      </c>
      <c r="B8" s="1">
        <v>1</v>
      </c>
      <c r="C8" s="1" t="s">
        <v>4</v>
      </c>
      <c r="D8" s="4">
        <v>0.27</v>
      </c>
      <c r="E8" s="4">
        <f t="shared" si="0"/>
        <v>0.27</v>
      </c>
    </row>
    <row r="9" spans="1:5" x14ac:dyDescent="0.25">
      <c r="A9" s="5" t="s">
        <v>11</v>
      </c>
      <c r="B9" s="6">
        <v>10</v>
      </c>
      <c r="C9" s="6" t="s">
        <v>10</v>
      </c>
      <c r="D9" s="7">
        <v>0.04</v>
      </c>
      <c r="E9" s="7">
        <f t="shared" si="0"/>
        <v>0.4</v>
      </c>
    </row>
    <row r="10" spans="1:5" x14ac:dyDescent="0.25">
      <c r="A10" s="5" t="s">
        <v>18</v>
      </c>
      <c r="B10" s="6">
        <v>1</v>
      </c>
      <c r="C10" s="6" t="s">
        <v>4</v>
      </c>
      <c r="D10" s="7">
        <v>0.69</v>
      </c>
      <c r="E10" s="7">
        <f t="shared" si="0"/>
        <v>0.69</v>
      </c>
    </row>
    <row r="11" spans="1:5" x14ac:dyDescent="0.25">
      <c r="A11" s="3" t="s">
        <v>85</v>
      </c>
      <c r="B11" s="1">
        <v>1</v>
      </c>
      <c r="C11" s="1" t="s">
        <v>86</v>
      </c>
      <c r="D11" s="4">
        <v>0.36</v>
      </c>
      <c r="E11" s="4">
        <f t="shared" si="0"/>
        <v>0.36</v>
      </c>
    </row>
    <row r="12" spans="1:5" ht="30" customHeight="1" x14ac:dyDescent="0.25">
      <c r="A12" s="46" t="s">
        <v>12</v>
      </c>
      <c r="B12" s="47"/>
      <c r="C12" s="47"/>
      <c r="D12" s="48"/>
      <c r="E12" s="11">
        <f>SUM(E4:E11)</f>
        <v>37.229999999999997</v>
      </c>
    </row>
    <row r="13" spans="1:5" x14ac:dyDescent="0.25">
      <c r="A13" s="3"/>
      <c r="B13" s="3"/>
      <c r="C13" s="1"/>
      <c r="D13" s="4"/>
      <c r="E13" s="4">
        <f>B13*D13</f>
        <v>0</v>
      </c>
    </row>
    <row r="14" spans="1:5" x14ac:dyDescent="0.25">
      <c r="A14" s="3" t="s">
        <v>40</v>
      </c>
      <c r="B14" s="3">
        <v>1</v>
      </c>
      <c r="C14" s="1" t="s">
        <v>13</v>
      </c>
      <c r="D14" s="4">
        <v>17</v>
      </c>
      <c r="E14" s="4">
        <v>17</v>
      </c>
    </row>
    <row r="15" spans="1:5" x14ac:dyDescent="0.25">
      <c r="A15" s="3"/>
      <c r="B15" s="3"/>
      <c r="C15" s="1"/>
      <c r="D15" s="4"/>
      <c r="E15" s="4">
        <f t="shared" ref="E15" si="1">B15*D15</f>
        <v>0</v>
      </c>
    </row>
    <row r="16" spans="1:5" x14ac:dyDescent="0.25">
      <c r="A16" s="27"/>
      <c r="B16" s="28"/>
      <c r="C16" s="29"/>
      <c r="D16" s="30"/>
      <c r="E16" s="4"/>
    </row>
    <row r="17" spans="1:6" ht="30" customHeight="1" x14ac:dyDescent="0.25">
      <c r="A17" s="46" t="s">
        <v>15</v>
      </c>
      <c r="B17" s="47"/>
      <c r="C17" s="47"/>
      <c r="D17" s="48"/>
      <c r="E17" s="11">
        <v>17</v>
      </c>
    </row>
    <row r="18" spans="1:6" ht="15.75" x14ac:dyDescent="0.25">
      <c r="A18" s="49" t="s">
        <v>41</v>
      </c>
      <c r="B18" s="50"/>
      <c r="C18" s="50"/>
      <c r="D18" s="51"/>
      <c r="E18" s="13">
        <f>SUM(E17,E12)*61%</f>
        <v>33.080299999999994</v>
      </c>
    </row>
    <row r="19" spans="1:6" ht="30" customHeight="1" x14ac:dyDescent="0.25">
      <c r="A19" s="46" t="s">
        <v>14</v>
      </c>
      <c r="B19" s="47"/>
      <c r="C19" s="47"/>
      <c r="D19" s="48"/>
      <c r="E19" s="11">
        <f>E12+E17+E18</f>
        <v>87.310299999999984</v>
      </c>
    </row>
    <row r="20" spans="1:6" ht="15.75" x14ac:dyDescent="0.25">
      <c r="A20" s="52" t="s">
        <v>16</v>
      </c>
      <c r="B20" s="53"/>
      <c r="C20" s="53"/>
      <c r="D20" s="54"/>
      <c r="E20" s="25">
        <f>(E21-E19)/E19</f>
        <v>2.6650887695953407</v>
      </c>
    </row>
    <row r="21" spans="1:6" ht="30" customHeight="1" x14ac:dyDescent="0.25">
      <c r="A21" s="46" t="s">
        <v>17</v>
      </c>
      <c r="B21" s="47"/>
      <c r="C21" s="47"/>
      <c r="D21" s="48"/>
      <c r="E21" s="11">
        <v>320</v>
      </c>
      <c r="F21" s="24"/>
    </row>
    <row r="23" spans="1:6" x14ac:dyDescent="0.25">
      <c r="A23" s="3" t="s">
        <v>88</v>
      </c>
      <c r="B23" s="31"/>
    </row>
  </sheetData>
  <sortState xmlns:xlrd2="http://schemas.microsoft.com/office/spreadsheetml/2017/richdata2" ref="A5:E11">
    <sortCondition ref="A5"/>
  </sortState>
  <mergeCells count="7">
    <mergeCell ref="A1:E2"/>
    <mergeCell ref="A21:D21"/>
    <mergeCell ref="A20:D20"/>
    <mergeCell ref="A12:D12"/>
    <mergeCell ref="A17:D17"/>
    <mergeCell ref="A19:D19"/>
    <mergeCell ref="A18:D18"/>
  </mergeCells>
  <pageMargins left="0.25" right="0.25" top="0.75" bottom="0.75" header="0.3" footer="0.3"/>
  <pageSetup paperSize="9" fitToHeight="0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445D2-04AF-4432-A73F-73114B53F2BA}">
  <dimension ref="A1:E22"/>
  <sheetViews>
    <sheetView workbookViewId="0">
      <selection activeCell="G24" sqref="G24"/>
    </sheetView>
  </sheetViews>
  <sheetFormatPr defaultRowHeight="15" x14ac:dyDescent="0.25"/>
  <cols>
    <col min="1" max="1" width="23.140625" bestFit="1" customWidth="1"/>
    <col min="2" max="2" width="10.7109375" customWidth="1"/>
    <col min="3" max="3" width="8.140625" bestFit="1" customWidth="1"/>
    <col min="4" max="4" width="13.140625" bestFit="1" customWidth="1"/>
    <col min="5" max="5" width="13.28515625" bestFit="1" customWidth="1"/>
  </cols>
  <sheetData>
    <row r="1" spans="1:5" x14ac:dyDescent="0.25">
      <c r="A1" s="45" t="s">
        <v>158</v>
      </c>
      <c r="B1" s="45"/>
      <c r="C1" s="45"/>
      <c r="D1" s="45"/>
      <c r="E1" s="45"/>
    </row>
    <row r="2" spans="1:5" x14ac:dyDescent="0.25">
      <c r="A2" s="45"/>
      <c r="B2" s="45"/>
      <c r="C2" s="45"/>
      <c r="D2" s="45"/>
      <c r="E2" s="45"/>
    </row>
    <row r="3" spans="1:5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</row>
    <row r="4" spans="1:5" x14ac:dyDescent="0.25">
      <c r="A4" s="31" t="s">
        <v>8</v>
      </c>
      <c r="B4" s="6">
        <v>2</v>
      </c>
      <c r="C4" s="6" t="s">
        <v>10</v>
      </c>
      <c r="D4" s="7">
        <v>14.26</v>
      </c>
      <c r="E4" s="7">
        <f t="shared" ref="E4:E12" si="0">B4*D4</f>
        <v>28.52</v>
      </c>
    </row>
    <row r="5" spans="1:5" x14ac:dyDescent="0.25">
      <c r="A5" s="31" t="s">
        <v>157</v>
      </c>
      <c r="B5" s="6">
        <v>2</v>
      </c>
      <c r="C5" s="6" t="s">
        <v>4</v>
      </c>
      <c r="D5" s="7">
        <v>9.18</v>
      </c>
      <c r="E5" s="7">
        <f t="shared" si="0"/>
        <v>18.36</v>
      </c>
    </row>
    <row r="6" spans="1:5" x14ac:dyDescent="0.25">
      <c r="A6" s="31" t="s">
        <v>161</v>
      </c>
      <c r="B6" s="6">
        <v>2</v>
      </c>
      <c r="C6" s="6" t="s">
        <v>4</v>
      </c>
      <c r="D6" s="7">
        <v>4.18</v>
      </c>
      <c r="E6" s="7">
        <f t="shared" si="0"/>
        <v>8.36</v>
      </c>
    </row>
    <row r="7" spans="1:5" x14ac:dyDescent="0.25">
      <c r="A7" s="31" t="s">
        <v>19</v>
      </c>
      <c r="B7" s="6">
        <v>4</v>
      </c>
      <c r="C7" s="6" t="s">
        <v>4</v>
      </c>
      <c r="D7" s="7">
        <v>0.64</v>
      </c>
      <c r="E7" s="7">
        <f t="shared" si="0"/>
        <v>2.56</v>
      </c>
    </row>
    <row r="8" spans="1:5" x14ac:dyDescent="0.25">
      <c r="A8" s="3" t="s">
        <v>43</v>
      </c>
      <c r="B8" s="1">
        <v>1</v>
      </c>
      <c r="C8" s="1" t="s">
        <v>4</v>
      </c>
      <c r="D8" s="4">
        <v>4.75</v>
      </c>
      <c r="E8" s="4">
        <f t="shared" si="0"/>
        <v>4.75</v>
      </c>
    </row>
    <row r="9" spans="1:5" x14ac:dyDescent="0.25">
      <c r="A9" s="3" t="s">
        <v>84</v>
      </c>
      <c r="B9" s="1">
        <v>1</v>
      </c>
      <c r="C9" s="1" t="s">
        <v>4</v>
      </c>
      <c r="D9" s="4">
        <v>0.27</v>
      </c>
      <c r="E9" s="4">
        <f t="shared" si="0"/>
        <v>0.27</v>
      </c>
    </row>
    <row r="10" spans="1:5" x14ac:dyDescent="0.25">
      <c r="A10" s="5" t="s">
        <v>11</v>
      </c>
      <c r="B10" s="6">
        <v>10</v>
      </c>
      <c r="C10" s="6" t="s">
        <v>10</v>
      </c>
      <c r="D10" s="7">
        <v>0.04</v>
      </c>
      <c r="E10" s="7">
        <f t="shared" si="0"/>
        <v>0.4</v>
      </c>
    </row>
    <row r="11" spans="1:5" x14ac:dyDescent="0.25">
      <c r="A11" s="5" t="s">
        <v>18</v>
      </c>
      <c r="B11" s="6">
        <v>1</v>
      </c>
      <c r="C11" s="6" t="s">
        <v>4</v>
      </c>
      <c r="D11" s="7">
        <v>0.69</v>
      </c>
      <c r="E11" s="7">
        <f t="shared" si="0"/>
        <v>0.69</v>
      </c>
    </row>
    <row r="12" spans="1:5" x14ac:dyDescent="0.25">
      <c r="A12" s="3" t="s">
        <v>85</v>
      </c>
      <c r="B12" s="1">
        <v>1</v>
      </c>
      <c r="C12" s="1" t="s">
        <v>86</v>
      </c>
      <c r="D12" s="4">
        <v>0.36</v>
      </c>
      <c r="E12" s="4">
        <f t="shared" si="0"/>
        <v>0.36</v>
      </c>
    </row>
    <row r="13" spans="1:5" ht="18.75" x14ac:dyDescent="0.25">
      <c r="A13" s="46" t="s">
        <v>12</v>
      </c>
      <c r="B13" s="47"/>
      <c r="C13" s="47"/>
      <c r="D13" s="48"/>
      <c r="E13" s="11">
        <f>SUM(E4:E12)</f>
        <v>64.27</v>
      </c>
    </row>
    <row r="14" spans="1:5" x14ac:dyDescent="0.25">
      <c r="A14" s="3"/>
      <c r="B14" s="3"/>
      <c r="C14" s="1"/>
      <c r="D14" s="4"/>
      <c r="E14" s="4">
        <f>B14*D14</f>
        <v>0</v>
      </c>
    </row>
    <row r="15" spans="1:5" x14ac:dyDescent="0.25">
      <c r="A15" s="3" t="s">
        <v>40</v>
      </c>
      <c r="B15" s="3">
        <v>1</v>
      </c>
      <c r="C15" s="1" t="s">
        <v>13</v>
      </c>
      <c r="D15" s="4">
        <v>17</v>
      </c>
      <c r="E15" s="4">
        <v>17</v>
      </c>
    </row>
    <row r="16" spans="1:5" x14ac:dyDescent="0.25">
      <c r="A16" s="3"/>
      <c r="B16" s="3"/>
      <c r="C16" s="1"/>
      <c r="D16" s="4"/>
      <c r="E16" s="4">
        <f t="shared" ref="E16" si="1">B16*D16</f>
        <v>0</v>
      </c>
    </row>
    <row r="17" spans="1:5" x14ac:dyDescent="0.25">
      <c r="A17" s="27"/>
      <c r="B17" s="28"/>
      <c r="C17" s="29"/>
      <c r="D17" s="30"/>
      <c r="E17" s="4"/>
    </row>
    <row r="18" spans="1:5" ht="18.75" x14ac:dyDescent="0.25">
      <c r="A18" s="46" t="s">
        <v>15</v>
      </c>
      <c r="B18" s="47"/>
      <c r="C18" s="47"/>
      <c r="D18" s="48"/>
      <c r="E18" s="11">
        <v>17</v>
      </c>
    </row>
    <row r="19" spans="1:5" ht="15.75" x14ac:dyDescent="0.25">
      <c r="A19" s="49" t="s">
        <v>41</v>
      </c>
      <c r="B19" s="50"/>
      <c r="C19" s="50"/>
      <c r="D19" s="51"/>
      <c r="E19" s="13">
        <f>SUM(E18,E13)*61%</f>
        <v>49.5747</v>
      </c>
    </row>
    <row r="20" spans="1:5" ht="18.75" x14ac:dyDescent="0.25">
      <c r="A20" s="46" t="s">
        <v>14</v>
      </c>
      <c r="B20" s="47"/>
      <c r="C20" s="47"/>
      <c r="D20" s="48"/>
      <c r="E20" s="11">
        <f>E13+E18+E19</f>
        <v>130.84469999999999</v>
      </c>
    </row>
    <row r="21" spans="1:5" ht="15.75" x14ac:dyDescent="0.25">
      <c r="A21" s="52" t="s">
        <v>16</v>
      </c>
      <c r="B21" s="53"/>
      <c r="C21" s="53"/>
      <c r="D21" s="54"/>
      <c r="E21" s="25">
        <f>(E22-E20)/E20</f>
        <v>2.744897577051268</v>
      </c>
    </row>
    <row r="22" spans="1:5" ht="18.75" x14ac:dyDescent="0.25">
      <c r="A22" s="46" t="s">
        <v>17</v>
      </c>
      <c r="B22" s="47"/>
      <c r="C22" s="47"/>
      <c r="D22" s="48"/>
      <c r="E22" s="11">
        <v>490</v>
      </c>
    </row>
  </sheetData>
  <mergeCells count="7">
    <mergeCell ref="A22:D22"/>
    <mergeCell ref="A1:E2"/>
    <mergeCell ref="A13:D13"/>
    <mergeCell ref="A18:D18"/>
    <mergeCell ref="A19:D19"/>
    <mergeCell ref="A20:D20"/>
    <mergeCell ref="A21:D2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3"/>
  <sheetViews>
    <sheetView workbookViewId="0">
      <selection activeCell="F21" sqref="F21"/>
    </sheetView>
  </sheetViews>
  <sheetFormatPr defaultRowHeight="15" x14ac:dyDescent="0.25"/>
  <cols>
    <col min="1" max="1" width="24.85546875" bestFit="1" customWidth="1"/>
    <col min="2" max="2" width="11.42578125" bestFit="1" customWidth="1"/>
    <col min="3" max="3" width="8.5703125" bestFit="1" customWidth="1"/>
    <col min="4" max="4" width="13.85546875" bestFit="1" customWidth="1"/>
    <col min="5" max="5" width="14.5703125" bestFit="1" customWidth="1"/>
  </cols>
  <sheetData>
    <row r="1" spans="1:5" x14ac:dyDescent="0.25">
      <c r="A1" s="45" t="s">
        <v>30</v>
      </c>
      <c r="B1" s="45"/>
      <c r="C1" s="45"/>
      <c r="D1" s="45"/>
      <c r="E1" s="45"/>
    </row>
    <row r="2" spans="1:5" x14ac:dyDescent="0.25">
      <c r="A2" s="45"/>
      <c r="B2" s="45"/>
      <c r="C2" s="45"/>
      <c r="D2" s="45"/>
      <c r="E2" s="45"/>
    </row>
    <row r="3" spans="1:5" x14ac:dyDescent="0.25">
      <c r="A3" s="2" t="s">
        <v>7</v>
      </c>
      <c r="B3" s="14" t="s">
        <v>3</v>
      </c>
      <c r="C3" s="14" t="s">
        <v>4</v>
      </c>
      <c r="D3" s="14" t="s">
        <v>6</v>
      </c>
      <c r="E3" s="14" t="s">
        <v>5</v>
      </c>
    </row>
    <row r="4" spans="1:5" x14ac:dyDescent="0.25">
      <c r="A4" s="31" t="s">
        <v>8</v>
      </c>
      <c r="B4" s="6">
        <v>2</v>
      </c>
      <c r="C4" s="6" t="s">
        <v>10</v>
      </c>
      <c r="D4" s="7">
        <v>14.26</v>
      </c>
      <c r="E4" s="15">
        <f t="shared" ref="E4:E11" si="0">B4*D4</f>
        <v>28.52</v>
      </c>
    </row>
    <row r="5" spans="1:5" x14ac:dyDescent="0.25">
      <c r="A5" s="31" t="s">
        <v>31</v>
      </c>
      <c r="B5" s="6">
        <v>3</v>
      </c>
      <c r="C5" s="6" t="s">
        <v>4</v>
      </c>
      <c r="D5" s="15">
        <v>1.1499999999999999</v>
      </c>
      <c r="E5" s="15">
        <f t="shared" si="0"/>
        <v>3.4499999999999997</v>
      </c>
    </row>
    <row r="6" spans="1:5" x14ac:dyDescent="0.25">
      <c r="A6" s="3" t="s">
        <v>43</v>
      </c>
      <c r="B6" s="1">
        <v>1</v>
      </c>
      <c r="C6" s="1" t="s">
        <v>4</v>
      </c>
      <c r="D6" s="4">
        <v>4.75</v>
      </c>
      <c r="E6" s="4">
        <f t="shared" si="0"/>
        <v>4.75</v>
      </c>
    </row>
    <row r="7" spans="1:5" x14ac:dyDescent="0.25">
      <c r="A7" s="3" t="s">
        <v>84</v>
      </c>
      <c r="B7" s="1">
        <v>1</v>
      </c>
      <c r="C7" s="1" t="s">
        <v>4</v>
      </c>
      <c r="D7" s="4">
        <v>0.27</v>
      </c>
      <c r="E7" s="4">
        <f t="shared" si="0"/>
        <v>0.27</v>
      </c>
    </row>
    <row r="8" spans="1:5" x14ac:dyDescent="0.25">
      <c r="A8" s="5" t="s">
        <v>11</v>
      </c>
      <c r="B8" s="6">
        <v>10</v>
      </c>
      <c r="C8" s="6" t="s">
        <v>10</v>
      </c>
      <c r="D8" s="15">
        <v>0.04</v>
      </c>
      <c r="E8" s="15">
        <f t="shared" si="0"/>
        <v>0.4</v>
      </c>
    </row>
    <row r="9" spans="1:5" x14ac:dyDescent="0.25">
      <c r="A9" s="31" t="s">
        <v>1</v>
      </c>
      <c r="B9" s="6">
        <v>2</v>
      </c>
      <c r="C9" s="6" t="s">
        <v>4</v>
      </c>
      <c r="D9" s="15">
        <v>2.7</v>
      </c>
      <c r="E9" s="15">
        <f t="shared" si="0"/>
        <v>5.4</v>
      </c>
    </row>
    <row r="10" spans="1:5" x14ac:dyDescent="0.25">
      <c r="A10" s="5" t="s">
        <v>18</v>
      </c>
      <c r="B10" s="6">
        <v>1</v>
      </c>
      <c r="C10" s="6" t="s">
        <v>4</v>
      </c>
      <c r="D10" s="7">
        <v>0.69</v>
      </c>
      <c r="E10" s="15">
        <f t="shared" si="0"/>
        <v>0.69</v>
      </c>
    </row>
    <row r="11" spans="1:5" x14ac:dyDescent="0.25">
      <c r="A11" s="3" t="s">
        <v>85</v>
      </c>
      <c r="B11" s="1">
        <v>1</v>
      </c>
      <c r="C11" s="1" t="s">
        <v>86</v>
      </c>
      <c r="D11" s="4">
        <v>0.36</v>
      </c>
      <c r="E11" s="4">
        <f t="shared" si="0"/>
        <v>0.36</v>
      </c>
    </row>
    <row r="12" spans="1:5" ht="30" customHeight="1" x14ac:dyDescent="0.25">
      <c r="A12" s="46" t="s">
        <v>12</v>
      </c>
      <c r="B12" s="47"/>
      <c r="C12" s="47"/>
      <c r="D12" s="48"/>
      <c r="E12" s="11">
        <f>SUM(E4:E11)</f>
        <v>43.839999999999996</v>
      </c>
    </row>
    <row r="13" spans="1:5" x14ac:dyDescent="0.25">
      <c r="A13" s="3"/>
      <c r="B13" s="3"/>
      <c r="C13" s="1"/>
      <c r="D13" s="4"/>
      <c r="E13" s="16">
        <f>B13*D13</f>
        <v>0</v>
      </c>
    </row>
    <row r="14" spans="1:5" x14ac:dyDescent="0.25">
      <c r="A14" s="3"/>
      <c r="B14" s="3"/>
      <c r="C14" s="1"/>
      <c r="D14" s="4"/>
      <c r="E14" s="16"/>
    </row>
    <row r="15" spans="1:5" x14ac:dyDescent="0.25">
      <c r="A15" s="3" t="s">
        <v>40</v>
      </c>
      <c r="B15" s="3">
        <v>1</v>
      </c>
      <c r="C15" s="1" t="s">
        <v>13</v>
      </c>
      <c r="D15" s="4">
        <v>17</v>
      </c>
      <c r="E15" s="16">
        <v>17</v>
      </c>
    </row>
    <row r="16" spans="1:5" x14ac:dyDescent="0.25">
      <c r="A16" s="3"/>
      <c r="B16" s="3"/>
      <c r="C16" s="1"/>
      <c r="D16" s="4"/>
      <c r="E16" s="16">
        <f t="shared" ref="E16" si="1">B16*D16</f>
        <v>0</v>
      </c>
    </row>
    <row r="17" spans="1:6" ht="30" customHeight="1" x14ac:dyDescent="0.25">
      <c r="A17" s="44" t="s">
        <v>15</v>
      </c>
      <c r="B17" s="44"/>
      <c r="C17" s="44"/>
      <c r="D17" s="44"/>
      <c r="E17" s="11">
        <v>17</v>
      </c>
    </row>
    <row r="18" spans="1:6" ht="15.75" x14ac:dyDescent="0.25">
      <c r="A18" s="49" t="s">
        <v>41</v>
      </c>
      <c r="B18" s="50"/>
      <c r="C18" s="50"/>
      <c r="D18" s="51"/>
      <c r="E18" s="13">
        <f>SUM(E17,E12)*61%</f>
        <v>37.112399999999994</v>
      </c>
    </row>
    <row r="19" spans="1:6" ht="30" customHeight="1" x14ac:dyDescent="0.25">
      <c r="A19" s="44" t="s">
        <v>14</v>
      </c>
      <c r="B19" s="44"/>
      <c r="C19" s="44"/>
      <c r="D19" s="44"/>
      <c r="E19" s="11">
        <f>E12+E17+E18</f>
        <v>97.952399999999983</v>
      </c>
    </row>
    <row r="20" spans="1:6" ht="15.75" x14ac:dyDescent="0.25">
      <c r="A20" s="55" t="s">
        <v>16</v>
      </c>
      <c r="B20" s="55"/>
      <c r="C20" s="55"/>
      <c r="D20" s="55"/>
      <c r="E20" s="12">
        <f>(E21-E19)/E19</f>
        <v>2.2668928989999229</v>
      </c>
    </row>
    <row r="21" spans="1:6" ht="30" customHeight="1" x14ac:dyDescent="0.25">
      <c r="A21" s="44" t="s">
        <v>17</v>
      </c>
      <c r="B21" s="44"/>
      <c r="C21" s="44"/>
      <c r="D21" s="44"/>
      <c r="E21" s="11">
        <v>320</v>
      </c>
      <c r="F21" s="24"/>
    </row>
    <row r="23" spans="1:6" x14ac:dyDescent="0.25">
      <c r="A23" s="3" t="s">
        <v>88</v>
      </c>
      <c r="B23" s="31"/>
    </row>
  </sheetData>
  <sortState xmlns:xlrd2="http://schemas.microsoft.com/office/spreadsheetml/2017/richdata2" ref="A5:E11">
    <sortCondition ref="A5"/>
  </sortState>
  <mergeCells count="7">
    <mergeCell ref="A21:D21"/>
    <mergeCell ref="A1:E2"/>
    <mergeCell ref="A17:D17"/>
    <mergeCell ref="A18:D18"/>
    <mergeCell ref="A19:D19"/>
    <mergeCell ref="A20:D20"/>
    <mergeCell ref="A12:D12"/>
  </mergeCells>
  <pageMargins left="0.25" right="0.25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3"/>
  <sheetViews>
    <sheetView workbookViewId="0">
      <selection activeCell="K23" sqref="K23"/>
    </sheetView>
  </sheetViews>
  <sheetFormatPr defaultRowHeight="15" x14ac:dyDescent="0.25"/>
  <cols>
    <col min="1" max="1" width="24.85546875" bestFit="1" customWidth="1"/>
    <col min="2" max="2" width="11.42578125" bestFit="1" customWidth="1"/>
    <col min="3" max="3" width="8.5703125" bestFit="1" customWidth="1"/>
    <col min="4" max="4" width="13.85546875" bestFit="1" customWidth="1"/>
    <col min="5" max="5" width="18.140625" bestFit="1" customWidth="1"/>
    <col min="7" max="7" width="24.85546875" bestFit="1" customWidth="1"/>
    <col min="8" max="8" width="11.42578125" bestFit="1" customWidth="1"/>
    <col min="9" max="9" width="8.5703125" bestFit="1" customWidth="1"/>
    <col min="10" max="10" width="13.85546875" bestFit="1" customWidth="1"/>
    <col min="11" max="11" width="18.140625" bestFit="1" customWidth="1"/>
  </cols>
  <sheetData>
    <row r="1" spans="1:11" ht="15" customHeight="1" x14ac:dyDescent="0.25">
      <c r="A1" s="45" t="s">
        <v>73</v>
      </c>
      <c r="B1" s="45"/>
      <c r="C1" s="45"/>
      <c r="D1" s="45"/>
      <c r="E1" s="45"/>
      <c r="G1" s="45" t="s">
        <v>74</v>
      </c>
      <c r="H1" s="45"/>
      <c r="I1" s="45"/>
      <c r="J1" s="45"/>
      <c r="K1" s="45"/>
    </row>
    <row r="2" spans="1:11" ht="15" customHeight="1" x14ac:dyDescent="0.25">
      <c r="A2" s="45"/>
      <c r="B2" s="45"/>
      <c r="C2" s="45"/>
      <c r="D2" s="45"/>
      <c r="E2" s="45"/>
      <c r="G2" s="45"/>
      <c r="H2" s="45"/>
      <c r="I2" s="45"/>
      <c r="J2" s="45"/>
      <c r="K2" s="45"/>
    </row>
    <row r="3" spans="1:11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  <c r="G3" s="2" t="s">
        <v>7</v>
      </c>
      <c r="H3" s="2" t="s">
        <v>3</v>
      </c>
      <c r="I3" s="2" t="s">
        <v>4</v>
      </c>
      <c r="J3" s="2" t="s">
        <v>6</v>
      </c>
      <c r="K3" s="2" t="s">
        <v>5</v>
      </c>
    </row>
    <row r="4" spans="1:11" x14ac:dyDescent="0.25">
      <c r="A4" s="31" t="s">
        <v>37</v>
      </c>
      <c r="B4" s="1">
        <v>2</v>
      </c>
      <c r="C4" s="1" t="s">
        <v>10</v>
      </c>
      <c r="D4" s="4">
        <v>10.16</v>
      </c>
      <c r="E4" s="4">
        <f>B4*D4</f>
        <v>20.32</v>
      </c>
      <c r="G4" s="31" t="s">
        <v>37</v>
      </c>
      <c r="H4" s="1">
        <v>2</v>
      </c>
      <c r="I4" s="1" t="s">
        <v>10</v>
      </c>
      <c r="J4" s="4">
        <v>10.16</v>
      </c>
      <c r="K4" s="4">
        <f>H4*J4</f>
        <v>20.32</v>
      </c>
    </row>
    <row r="5" spans="1:11" x14ac:dyDescent="0.25">
      <c r="A5" s="5" t="s">
        <v>51</v>
      </c>
      <c r="B5" s="6">
        <v>5</v>
      </c>
      <c r="C5" s="6" t="s">
        <v>4</v>
      </c>
      <c r="D5" s="7">
        <v>0.16</v>
      </c>
      <c r="E5" s="7">
        <f t="shared" ref="E5" si="0">B5*D5</f>
        <v>0.8</v>
      </c>
      <c r="G5" s="31" t="s">
        <v>92</v>
      </c>
      <c r="H5" s="6">
        <v>1</v>
      </c>
      <c r="I5" s="6" t="s">
        <v>4</v>
      </c>
      <c r="J5" s="7">
        <v>48.9</v>
      </c>
      <c r="K5" s="7">
        <f t="shared" ref="K5" si="1">H5*J5</f>
        <v>48.9</v>
      </c>
    </row>
    <row r="6" spans="1:11" x14ac:dyDescent="0.25">
      <c r="A6" s="3" t="s">
        <v>43</v>
      </c>
      <c r="B6" s="1">
        <v>1</v>
      </c>
      <c r="C6" s="1" t="s">
        <v>4</v>
      </c>
      <c r="D6" s="4">
        <v>4.75</v>
      </c>
      <c r="E6" s="4">
        <f>B6*D6</f>
        <v>4.75</v>
      </c>
      <c r="G6" s="5" t="s">
        <v>75</v>
      </c>
      <c r="H6" s="6">
        <v>3</v>
      </c>
      <c r="I6" s="6" t="s">
        <v>4</v>
      </c>
      <c r="J6" s="7">
        <v>0.24</v>
      </c>
      <c r="K6" s="7">
        <f t="shared" ref="K6" si="2">H6*J6</f>
        <v>0.72</v>
      </c>
    </row>
    <row r="7" spans="1:11" x14ac:dyDescent="0.25">
      <c r="A7" s="3" t="s">
        <v>84</v>
      </c>
      <c r="B7" s="1">
        <v>1</v>
      </c>
      <c r="C7" s="1" t="s">
        <v>4</v>
      </c>
      <c r="D7" s="4">
        <v>0.27</v>
      </c>
      <c r="E7" s="4">
        <f>B7*D7</f>
        <v>0.27</v>
      </c>
      <c r="G7" s="3" t="s">
        <v>43</v>
      </c>
      <c r="H7" s="1">
        <v>1</v>
      </c>
      <c r="I7" s="1" t="s">
        <v>4</v>
      </c>
      <c r="J7" s="4">
        <v>4.1399999999999997</v>
      </c>
      <c r="K7" s="4">
        <v>4.75</v>
      </c>
    </row>
    <row r="8" spans="1:11" x14ac:dyDescent="0.25">
      <c r="A8" s="3" t="s">
        <v>11</v>
      </c>
      <c r="B8" s="1">
        <v>10</v>
      </c>
      <c r="C8" s="1" t="s">
        <v>10</v>
      </c>
      <c r="D8" s="4">
        <v>0.04</v>
      </c>
      <c r="E8" s="4">
        <f>B8*D8</f>
        <v>0.4</v>
      </c>
      <c r="G8" s="3" t="s">
        <v>84</v>
      </c>
      <c r="H8" s="1">
        <v>1</v>
      </c>
      <c r="I8" s="1" t="s">
        <v>4</v>
      </c>
      <c r="J8" s="4">
        <v>0.18</v>
      </c>
      <c r="K8" s="4">
        <f>H8*J8</f>
        <v>0.18</v>
      </c>
    </row>
    <row r="9" spans="1:11" x14ac:dyDescent="0.25">
      <c r="A9" s="3" t="s">
        <v>18</v>
      </c>
      <c r="B9" s="1">
        <v>1</v>
      </c>
      <c r="C9" s="1" t="s">
        <v>4</v>
      </c>
      <c r="D9" s="7">
        <v>0.69</v>
      </c>
      <c r="E9" s="4">
        <f>B9*D9</f>
        <v>0.69</v>
      </c>
      <c r="G9" s="3" t="s">
        <v>11</v>
      </c>
      <c r="H9" s="1">
        <v>10</v>
      </c>
      <c r="I9" s="1" t="s">
        <v>10</v>
      </c>
      <c r="J9" s="4">
        <v>0.04</v>
      </c>
      <c r="K9" s="4">
        <f>H9*J9</f>
        <v>0.4</v>
      </c>
    </row>
    <row r="10" spans="1:11" x14ac:dyDescent="0.25">
      <c r="A10" s="3" t="s">
        <v>85</v>
      </c>
      <c r="B10" s="1">
        <v>1</v>
      </c>
      <c r="C10" s="1" t="s">
        <v>86</v>
      </c>
      <c r="D10" s="4">
        <v>0.36</v>
      </c>
      <c r="E10" s="4">
        <f>B10*D10</f>
        <v>0.36</v>
      </c>
      <c r="G10" s="3" t="s">
        <v>18</v>
      </c>
      <c r="H10" s="1">
        <v>1</v>
      </c>
      <c r="I10" s="1" t="s">
        <v>4</v>
      </c>
      <c r="J10" s="7">
        <v>0.67</v>
      </c>
      <c r="K10" s="4">
        <f>H10*J10</f>
        <v>0.67</v>
      </c>
    </row>
    <row r="11" spans="1:11" x14ac:dyDescent="0.25">
      <c r="A11" s="3"/>
      <c r="B11" s="1"/>
      <c r="C11" s="1"/>
      <c r="D11" s="4"/>
      <c r="E11" s="4"/>
      <c r="G11" s="3" t="s">
        <v>85</v>
      </c>
      <c r="H11" s="1">
        <v>1</v>
      </c>
      <c r="I11" s="1" t="s">
        <v>86</v>
      </c>
      <c r="J11" s="4">
        <v>0.36</v>
      </c>
      <c r="K11" s="4">
        <f>H11*J11</f>
        <v>0.36</v>
      </c>
    </row>
    <row r="12" spans="1:11" ht="18.75" x14ac:dyDescent="0.25">
      <c r="A12" s="46" t="s">
        <v>12</v>
      </c>
      <c r="B12" s="47"/>
      <c r="C12" s="47"/>
      <c r="D12" s="48"/>
      <c r="E12" s="11">
        <f>SUM(E4:E11)</f>
        <v>27.59</v>
      </c>
      <c r="G12" s="46" t="s">
        <v>12</v>
      </c>
      <c r="H12" s="47"/>
      <c r="I12" s="47"/>
      <c r="J12" s="48"/>
      <c r="K12" s="11">
        <f>SUM(K4:K11)</f>
        <v>76.300000000000011</v>
      </c>
    </row>
    <row r="13" spans="1:11" ht="18.75" x14ac:dyDescent="0.25">
      <c r="A13" s="10"/>
      <c r="B13" s="10"/>
      <c r="C13" s="10"/>
      <c r="D13" s="11"/>
      <c r="E13" s="11"/>
      <c r="G13" s="10"/>
      <c r="H13" s="10"/>
      <c r="I13" s="10"/>
      <c r="J13" s="11"/>
      <c r="K13" s="11"/>
    </row>
    <row r="14" spans="1:11" x14ac:dyDescent="0.25">
      <c r="A14" s="3"/>
      <c r="B14" s="3"/>
      <c r="C14" s="1"/>
      <c r="D14" s="4"/>
      <c r="E14" s="4"/>
      <c r="G14" s="3"/>
      <c r="H14" s="3"/>
      <c r="I14" s="1"/>
      <c r="J14" s="4"/>
      <c r="K14" s="4"/>
    </row>
    <row r="15" spans="1:11" x14ac:dyDescent="0.25">
      <c r="A15" s="3" t="s">
        <v>40</v>
      </c>
      <c r="B15" s="3">
        <v>1</v>
      </c>
      <c r="C15" s="1" t="s">
        <v>13</v>
      </c>
      <c r="D15" s="4">
        <v>17</v>
      </c>
      <c r="E15" s="4">
        <v>17</v>
      </c>
      <c r="G15" s="3" t="s">
        <v>40</v>
      </c>
      <c r="H15" s="3">
        <v>1</v>
      </c>
      <c r="I15" s="1" t="s">
        <v>13</v>
      </c>
      <c r="J15" s="4">
        <v>17</v>
      </c>
      <c r="K15" s="4">
        <v>17</v>
      </c>
    </row>
    <row r="16" spans="1:11" x14ac:dyDescent="0.25">
      <c r="A16" s="3"/>
      <c r="B16" s="3"/>
      <c r="C16" s="1"/>
      <c r="D16" s="4"/>
      <c r="E16" s="4"/>
      <c r="G16" s="3"/>
      <c r="H16" s="3"/>
      <c r="I16" s="1"/>
      <c r="J16" s="4"/>
      <c r="K16" s="4"/>
    </row>
    <row r="17" spans="1:12" ht="18.75" x14ac:dyDescent="0.25">
      <c r="A17" s="46" t="s">
        <v>15</v>
      </c>
      <c r="B17" s="47"/>
      <c r="C17" s="47"/>
      <c r="D17" s="48"/>
      <c r="E17" s="11">
        <f>SUM(E14:E16)</f>
        <v>17</v>
      </c>
      <c r="G17" s="46" t="s">
        <v>15</v>
      </c>
      <c r="H17" s="47"/>
      <c r="I17" s="47"/>
      <c r="J17" s="48"/>
      <c r="K17" s="11">
        <f>SUM(K14:K16)</f>
        <v>17</v>
      </c>
    </row>
    <row r="18" spans="1:12" ht="15.75" x14ac:dyDescent="0.25">
      <c r="A18" s="49" t="s">
        <v>41</v>
      </c>
      <c r="B18" s="50"/>
      <c r="C18" s="50"/>
      <c r="D18" s="51"/>
      <c r="E18" s="13">
        <f>SUM(E17,E12)*61%</f>
        <v>27.199900000000003</v>
      </c>
      <c r="G18" s="49" t="s">
        <v>41</v>
      </c>
      <c r="H18" s="50"/>
      <c r="I18" s="50"/>
      <c r="J18" s="51"/>
      <c r="K18" s="13">
        <f>SUM(K17,K12)*61%</f>
        <v>56.913000000000004</v>
      </c>
    </row>
    <row r="19" spans="1:12" ht="18.75" x14ac:dyDescent="0.25">
      <c r="A19" s="46" t="s">
        <v>14</v>
      </c>
      <c r="B19" s="47"/>
      <c r="C19" s="47"/>
      <c r="D19" s="48"/>
      <c r="E19" s="11">
        <f>SUM(E18,E17,E12)</f>
        <v>71.789900000000003</v>
      </c>
      <c r="G19" s="46" t="s">
        <v>14</v>
      </c>
      <c r="H19" s="47"/>
      <c r="I19" s="47"/>
      <c r="J19" s="48"/>
      <c r="K19" s="11">
        <f>SUM(K18,K17,K12)</f>
        <v>150.21300000000002</v>
      </c>
    </row>
    <row r="20" spans="1:12" ht="15.75" x14ac:dyDescent="0.25">
      <c r="A20" s="52" t="s">
        <v>16</v>
      </c>
      <c r="B20" s="53"/>
      <c r="C20" s="53"/>
      <c r="D20" s="54"/>
      <c r="E20" s="25">
        <f>(E21-E19)/E19</f>
        <v>2.4823840122357046</v>
      </c>
      <c r="G20" s="52" t="s">
        <v>16</v>
      </c>
      <c r="H20" s="53"/>
      <c r="I20" s="53"/>
      <c r="J20" s="54"/>
      <c r="K20" s="25">
        <f>(K21-K19)/K19</f>
        <v>1.0637361613175953</v>
      </c>
    </row>
    <row r="21" spans="1:12" ht="18.75" x14ac:dyDescent="0.25">
      <c r="A21" s="44" t="s">
        <v>17</v>
      </c>
      <c r="B21" s="44"/>
      <c r="C21" s="44"/>
      <c r="D21" s="44"/>
      <c r="E21" s="11">
        <v>250</v>
      </c>
      <c r="F21" s="24"/>
      <c r="G21" s="44" t="s">
        <v>17</v>
      </c>
      <c r="H21" s="44"/>
      <c r="I21" s="44"/>
      <c r="J21" s="44"/>
      <c r="K21" s="11">
        <v>310</v>
      </c>
      <c r="L21" s="24"/>
    </row>
    <row r="23" spans="1:12" x14ac:dyDescent="0.25">
      <c r="A23" s="3" t="s">
        <v>88</v>
      </c>
      <c r="B23" s="31"/>
    </row>
  </sheetData>
  <sortState xmlns:xlrd2="http://schemas.microsoft.com/office/spreadsheetml/2017/richdata2" ref="G7:K11">
    <sortCondition ref="G6"/>
  </sortState>
  <mergeCells count="14">
    <mergeCell ref="A21:D21"/>
    <mergeCell ref="G1:K2"/>
    <mergeCell ref="G12:J12"/>
    <mergeCell ref="G17:J17"/>
    <mergeCell ref="G18:J18"/>
    <mergeCell ref="G19:J19"/>
    <mergeCell ref="G20:J20"/>
    <mergeCell ref="G21:J21"/>
    <mergeCell ref="A1:E2"/>
    <mergeCell ref="A12:D12"/>
    <mergeCell ref="A17:D17"/>
    <mergeCell ref="A18:D18"/>
    <mergeCell ref="A19:D19"/>
    <mergeCell ref="A20:D20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7"/>
  <sheetViews>
    <sheetView topLeftCell="A22" workbookViewId="0">
      <selection activeCell="F45" sqref="F45"/>
    </sheetView>
  </sheetViews>
  <sheetFormatPr defaultRowHeight="15" x14ac:dyDescent="0.25"/>
  <cols>
    <col min="1" max="1" width="24.85546875" bestFit="1" customWidth="1"/>
    <col min="2" max="2" width="11.42578125" bestFit="1" customWidth="1"/>
    <col min="3" max="3" width="8.5703125" bestFit="1" customWidth="1"/>
    <col min="4" max="4" width="13.85546875" bestFit="1" customWidth="1"/>
    <col min="5" max="5" width="18.140625" bestFit="1" customWidth="1"/>
    <col min="7" max="7" width="24.85546875" bestFit="1" customWidth="1"/>
    <col min="8" max="8" width="11.42578125" bestFit="1" customWidth="1"/>
    <col min="9" max="9" width="8.5703125" bestFit="1" customWidth="1"/>
    <col min="10" max="10" width="13.85546875" bestFit="1" customWidth="1"/>
    <col min="11" max="11" width="18.140625" bestFit="1" customWidth="1"/>
  </cols>
  <sheetData>
    <row r="1" spans="1:11" ht="15" customHeight="1" x14ac:dyDescent="0.25">
      <c r="A1" s="45" t="s">
        <v>77</v>
      </c>
      <c r="B1" s="45"/>
      <c r="C1" s="45"/>
      <c r="D1" s="45"/>
      <c r="E1" s="45"/>
      <c r="G1" s="45" t="s">
        <v>76</v>
      </c>
      <c r="H1" s="45"/>
      <c r="I1" s="45"/>
      <c r="J1" s="45"/>
      <c r="K1" s="45"/>
    </row>
    <row r="2" spans="1:11" ht="15" customHeight="1" x14ac:dyDescent="0.25">
      <c r="A2" s="45"/>
      <c r="B2" s="45"/>
      <c r="C2" s="45"/>
      <c r="D2" s="45"/>
      <c r="E2" s="45"/>
      <c r="G2" s="45"/>
      <c r="H2" s="45"/>
      <c r="I2" s="45"/>
      <c r="J2" s="45"/>
      <c r="K2" s="45"/>
    </row>
    <row r="3" spans="1:11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  <c r="G3" s="2" t="s">
        <v>7</v>
      </c>
      <c r="H3" s="2" t="s">
        <v>3</v>
      </c>
      <c r="I3" s="2" t="s">
        <v>4</v>
      </c>
      <c r="J3" s="2" t="s">
        <v>6</v>
      </c>
      <c r="K3" s="2" t="s">
        <v>5</v>
      </c>
    </row>
    <row r="4" spans="1:11" x14ac:dyDescent="0.25">
      <c r="A4" s="31" t="s">
        <v>37</v>
      </c>
      <c r="B4" s="1">
        <v>2</v>
      </c>
      <c r="C4" s="1" t="s">
        <v>10</v>
      </c>
      <c r="D4" s="4">
        <v>10.16</v>
      </c>
      <c r="E4" s="4">
        <f>B4*D4</f>
        <v>20.32</v>
      </c>
      <c r="G4" s="31" t="s">
        <v>37</v>
      </c>
      <c r="H4" s="1">
        <v>2</v>
      </c>
      <c r="I4" s="1" t="s">
        <v>10</v>
      </c>
      <c r="J4" s="4">
        <v>10.16</v>
      </c>
      <c r="K4" s="4">
        <f>H4*J4</f>
        <v>20.32</v>
      </c>
    </row>
    <row r="5" spans="1:11" x14ac:dyDescent="0.25">
      <c r="A5" s="5" t="s">
        <v>51</v>
      </c>
      <c r="B5" s="6">
        <v>5</v>
      </c>
      <c r="C5" s="6" t="s">
        <v>4</v>
      </c>
      <c r="D5" s="7">
        <v>0.16</v>
      </c>
      <c r="E5" s="7">
        <f t="shared" ref="E5" si="0">B5*D5</f>
        <v>0.8</v>
      </c>
      <c r="G5" s="31" t="s">
        <v>90</v>
      </c>
      <c r="H5" s="6">
        <v>1</v>
      </c>
      <c r="I5" s="6" t="s">
        <v>4</v>
      </c>
      <c r="J5" s="7">
        <v>48.9</v>
      </c>
      <c r="K5" s="7">
        <f t="shared" ref="K5:K6" si="1">H5*J5</f>
        <v>48.9</v>
      </c>
    </row>
    <row r="6" spans="1:11" x14ac:dyDescent="0.25">
      <c r="A6" s="3" t="s">
        <v>43</v>
      </c>
      <c r="B6" s="1">
        <v>1</v>
      </c>
      <c r="C6" s="1" t="s">
        <v>4</v>
      </c>
      <c r="D6" s="4">
        <v>4.75</v>
      </c>
      <c r="E6" s="4">
        <f>B6*D6</f>
        <v>4.75</v>
      </c>
      <c r="G6" s="31" t="s">
        <v>75</v>
      </c>
      <c r="H6" s="6">
        <v>4</v>
      </c>
      <c r="I6" s="6" t="s">
        <v>4</v>
      </c>
      <c r="J6" s="7">
        <v>0.24</v>
      </c>
      <c r="K6" s="7">
        <f t="shared" si="1"/>
        <v>0.96</v>
      </c>
    </row>
    <row r="7" spans="1:11" x14ac:dyDescent="0.25">
      <c r="A7" s="3" t="s">
        <v>84</v>
      </c>
      <c r="B7" s="1">
        <v>1</v>
      </c>
      <c r="C7" s="1" t="s">
        <v>4</v>
      </c>
      <c r="D7" s="4">
        <v>0.27</v>
      </c>
      <c r="E7" s="4">
        <f>B7*D7</f>
        <v>0.27</v>
      </c>
      <c r="G7" s="3" t="s">
        <v>43</v>
      </c>
      <c r="H7" s="1">
        <v>1</v>
      </c>
      <c r="I7" s="1" t="s">
        <v>4</v>
      </c>
      <c r="J7" s="4">
        <v>4.75</v>
      </c>
      <c r="K7" s="4">
        <f>H7*J7</f>
        <v>4.75</v>
      </c>
    </row>
    <row r="8" spans="1:11" x14ac:dyDescent="0.25">
      <c r="A8" s="3" t="s">
        <v>11</v>
      </c>
      <c r="B8" s="1">
        <v>10</v>
      </c>
      <c r="C8" s="1" t="s">
        <v>10</v>
      </c>
      <c r="D8" s="4">
        <v>0.04</v>
      </c>
      <c r="E8" s="4">
        <f>B8*D8</f>
        <v>0.4</v>
      </c>
      <c r="G8" s="3" t="s">
        <v>84</v>
      </c>
      <c r="H8" s="1">
        <v>1</v>
      </c>
      <c r="I8" s="1" t="s">
        <v>4</v>
      </c>
      <c r="J8" s="4">
        <v>0.27</v>
      </c>
      <c r="K8" s="4">
        <f>H8*J8</f>
        <v>0.27</v>
      </c>
    </row>
    <row r="9" spans="1:11" x14ac:dyDescent="0.25">
      <c r="A9" s="3" t="s">
        <v>18</v>
      </c>
      <c r="B9" s="1">
        <v>1</v>
      </c>
      <c r="C9" s="1" t="s">
        <v>4</v>
      </c>
      <c r="D9" s="7">
        <v>0.69</v>
      </c>
      <c r="E9" s="4">
        <f>B9*D9</f>
        <v>0.69</v>
      </c>
      <c r="G9" s="3" t="s">
        <v>11</v>
      </c>
      <c r="H9" s="1">
        <v>10</v>
      </c>
      <c r="I9" s="1" t="s">
        <v>10</v>
      </c>
      <c r="J9" s="4">
        <v>0.04</v>
      </c>
      <c r="K9" s="4">
        <f>H9*J9</f>
        <v>0.4</v>
      </c>
    </row>
    <row r="10" spans="1:11" x14ac:dyDescent="0.25">
      <c r="A10" s="3" t="s">
        <v>85</v>
      </c>
      <c r="B10" s="1">
        <v>1</v>
      </c>
      <c r="C10" s="1" t="s">
        <v>86</v>
      </c>
      <c r="D10" s="4">
        <v>0.36</v>
      </c>
      <c r="E10" s="4">
        <f>B10*D10</f>
        <v>0.36</v>
      </c>
      <c r="G10" s="3" t="s">
        <v>18</v>
      </c>
      <c r="H10" s="1">
        <v>1</v>
      </c>
      <c r="I10" s="1" t="s">
        <v>4</v>
      </c>
      <c r="J10" s="7">
        <v>0.69</v>
      </c>
      <c r="K10" s="4">
        <f>H10*J10</f>
        <v>0.69</v>
      </c>
    </row>
    <row r="11" spans="1:11" x14ac:dyDescent="0.25">
      <c r="A11" s="3"/>
      <c r="B11" s="1"/>
      <c r="C11" s="1"/>
      <c r="D11" s="4"/>
      <c r="E11" s="4"/>
      <c r="G11" s="3" t="s">
        <v>85</v>
      </c>
      <c r="H11" s="1">
        <v>1</v>
      </c>
      <c r="I11" s="1" t="s">
        <v>86</v>
      </c>
      <c r="J11" s="4">
        <v>0.36</v>
      </c>
      <c r="K11" s="4">
        <f>H11*J11</f>
        <v>0.36</v>
      </c>
    </row>
    <row r="12" spans="1:11" ht="18.75" x14ac:dyDescent="0.25">
      <c r="A12" s="46" t="s">
        <v>12</v>
      </c>
      <c r="B12" s="47"/>
      <c r="C12" s="47"/>
      <c r="D12" s="48"/>
      <c r="E12" s="11">
        <f>SUM(E4:E11)</f>
        <v>27.59</v>
      </c>
      <c r="G12" s="46" t="s">
        <v>12</v>
      </c>
      <c r="H12" s="47"/>
      <c r="I12" s="47"/>
      <c r="J12" s="48"/>
      <c r="K12" s="11">
        <f>SUM(K4:K11)</f>
        <v>76.649999999999991</v>
      </c>
    </row>
    <row r="13" spans="1:11" ht="18.75" x14ac:dyDescent="0.25">
      <c r="A13" s="10"/>
      <c r="B13" s="10"/>
      <c r="C13" s="10"/>
      <c r="D13" s="11"/>
      <c r="E13" s="11"/>
      <c r="G13" s="10"/>
      <c r="H13" s="10"/>
      <c r="I13" s="10"/>
      <c r="J13" s="11"/>
      <c r="K13" s="11"/>
    </row>
    <row r="14" spans="1:11" x14ac:dyDescent="0.25">
      <c r="A14" s="3"/>
      <c r="B14" s="3"/>
      <c r="C14" s="1"/>
      <c r="D14" s="4"/>
      <c r="E14" s="4"/>
      <c r="G14" s="3"/>
      <c r="H14" s="3"/>
      <c r="I14" s="1"/>
      <c r="J14" s="4"/>
      <c r="K14" s="4"/>
    </row>
    <row r="15" spans="1:11" x14ac:dyDescent="0.25">
      <c r="A15" s="3" t="s">
        <v>40</v>
      </c>
      <c r="B15" s="3">
        <v>1</v>
      </c>
      <c r="C15" s="1" t="s">
        <v>13</v>
      </c>
      <c r="D15" s="4">
        <v>17</v>
      </c>
      <c r="E15" s="4">
        <v>17</v>
      </c>
      <c r="G15" s="3" t="s">
        <v>40</v>
      </c>
      <c r="H15" s="3">
        <v>1</v>
      </c>
      <c r="I15" s="1" t="s">
        <v>13</v>
      </c>
      <c r="J15" s="4">
        <v>17</v>
      </c>
      <c r="K15" s="4">
        <v>17</v>
      </c>
    </row>
    <row r="16" spans="1:11" x14ac:dyDescent="0.25">
      <c r="A16" s="3"/>
      <c r="B16" s="3"/>
      <c r="C16" s="1"/>
      <c r="D16" s="4"/>
      <c r="E16" s="4"/>
      <c r="G16" s="3"/>
      <c r="H16" s="3"/>
      <c r="I16" s="1"/>
      <c r="J16" s="4"/>
      <c r="K16" s="4"/>
    </row>
    <row r="17" spans="1:12" ht="18.75" x14ac:dyDescent="0.25">
      <c r="A17" s="46" t="s">
        <v>15</v>
      </c>
      <c r="B17" s="47"/>
      <c r="C17" s="47"/>
      <c r="D17" s="48"/>
      <c r="E17" s="11">
        <f>SUM(E14:E16)</f>
        <v>17</v>
      </c>
      <c r="G17" s="46" t="s">
        <v>15</v>
      </c>
      <c r="H17" s="47"/>
      <c r="I17" s="47"/>
      <c r="J17" s="48"/>
      <c r="K17" s="11">
        <f>SUM(K14:K16)</f>
        <v>17</v>
      </c>
    </row>
    <row r="18" spans="1:12" ht="15.75" x14ac:dyDescent="0.25">
      <c r="A18" s="49" t="s">
        <v>41</v>
      </c>
      <c r="B18" s="50"/>
      <c r="C18" s="50"/>
      <c r="D18" s="51"/>
      <c r="E18" s="13">
        <f>SUM(E17,E12)*61%</f>
        <v>27.199900000000003</v>
      </c>
      <c r="G18" s="49" t="s">
        <v>41</v>
      </c>
      <c r="H18" s="50"/>
      <c r="I18" s="50"/>
      <c r="J18" s="51"/>
      <c r="K18" s="13">
        <f>SUM(K17,K12)*61%</f>
        <v>57.126499999999993</v>
      </c>
    </row>
    <row r="19" spans="1:12" ht="18.75" x14ac:dyDescent="0.25">
      <c r="A19" s="46" t="s">
        <v>14</v>
      </c>
      <c r="B19" s="47"/>
      <c r="C19" s="47"/>
      <c r="D19" s="48"/>
      <c r="E19" s="11">
        <f>SUM(E18,E17,E12)</f>
        <v>71.789900000000003</v>
      </c>
      <c r="G19" s="46" t="s">
        <v>14</v>
      </c>
      <c r="H19" s="47"/>
      <c r="I19" s="47"/>
      <c r="J19" s="48"/>
      <c r="K19" s="11">
        <f>SUM(K18,K17,K12)</f>
        <v>150.7765</v>
      </c>
    </row>
    <row r="20" spans="1:12" ht="15.75" x14ac:dyDescent="0.25">
      <c r="A20" s="52" t="s">
        <v>16</v>
      </c>
      <c r="B20" s="53"/>
      <c r="C20" s="53"/>
      <c r="D20" s="54"/>
      <c r="E20" s="25">
        <f>(E21-E19)/E19</f>
        <v>1.6048232411523069</v>
      </c>
      <c r="G20" s="52" t="s">
        <v>16</v>
      </c>
      <c r="H20" s="53"/>
      <c r="I20" s="53"/>
      <c r="J20" s="54"/>
      <c r="K20" s="25">
        <f>(K21-K19)/K19</f>
        <v>1.1886699850440885</v>
      </c>
    </row>
    <row r="21" spans="1:12" ht="18.75" x14ac:dyDescent="0.25">
      <c r="A21" s="44" t="s">
        <v>17</v>
      </c>
      <c r="B21" s="44"/>
      <c r="C21" s="44"/>
      <c r="D21" s="44"/>
      <c r="E21" s="11">
        <v>187</v>
      </c>
      <c r="F21" s="24"/>
      <c r="G21" s="44" t="s">
        <v>17</v>
      </c>
      <c r="H21" s="44"/>
      <c r="I21" s="44"/>
      <c r="J21" s="44"/>
      <c r="K21" s="11">
        <v>330</v>
      </c>
      <c r="L21" s="24"/>
    </row>
    <row r="23" spans="1:12" x14ac:dyDescent="0.25">
      <c r="A23" s="3" t="s">
        <v>88</v>
      </c>
      <c r="B23" s="31"/>
      <c r="G23" s="3" t="s">
        <v>88</v>
      </c>
      <c r="H23" s="31"/>
    </row>
    <row r="25" spans="1:12" x14ac:dyDescent="0.25">
      <c r="A25" s="45" t="s">
        <v>78</v>
      </c>
      <c r="B25" s="45"/>
      <c r="C25" s="45"/>
      <c r="D25" s="45"/>
      <c r="E25" s="45"/>
    </row>
    <row r="26" spans="1:12" x14ac:dyDescent="0.25">
      <c r="A26" s="45"/>
      <c r="B26" s="45"/>
      <c r="C26" s="45"/>
      <c r="D26" s="45"/>
      <c r="E26" s="45"/>
    </row>
    <row r="27" spans="1:12" x14ac:dyDescent="0.25">
      <c r="A27" s="2" t="s">
        <v>7</v>
      </c>
      <c r="B27" s="2" t="s">
        <v>3</v>
      </c>
      <c r="C27" s="2" t="s">
        <v>4</v>
      </c>
      <c r="D27" s="2" t="s">
        <v>6</v>
      </c>
      <c r="E27" s="2" t="s">
        <v>5</v>
      </c>
    </row>
    <row r="28" spans="1:12" x14ac:dyDescent="0.25">
      <c r="A28" s="31" t="s">
        <v>37</v>
      </c>
      <c r="B28" s="1">
        <v>2</v>
      </c>
      <c r="C28" s="1" t="s">
        <v>10</v>
      </c>
      <c r="D28" s="4">
        <v>10.16</v>
      </c>
      <c r="E28" s="4">
        <f>B28*D28</f>
        <v>20.32</v>
      </c>
    </row>
    <row r="29" spans="1:12" x14ac:dyDescent="0.25">
      <c r="A29" s="31" t="s">
        <v>91</v>
      </c>
      <c r="B29" s="6">
        <v>0.5</v>
      </c>
      <c r="C29" s="6" t="s">
        <v>4</v>
      </c>
      <c r="D29" s="7">
        <v>45.9</v>
      </c>
      <c r="E29" s="7">
        <f t="shared" ref="E29:E30" si="2">B29*D29</f>
        <v>22.95</v>
      </c>
    </row>
    <row r="30" spans="1:12" x14ac:dyDescent="0.25">
      <c r="A30" s="31" t="s">
        <v>75</v>
      </c>
      <c r="B30" s="6">
        <v>4</v>
      </c>
      <c r="C30" s="6" t="s">
        <v>4</v>
      </c>
      <c r="D30" s="7">
        <v>0.24</v>
      </c>
      <c r="E30" s="7">
        <f t="shared" si="2"/>
        <v>0.96</v>
      </c>
    </row>
    <row r="31" spans="1:12" x14ac:dyDescent="0.25">
      <c r="A31" s="3" t="s">
        <v>43</v>
      </c>
      <c r="B31" s="1">
        <v>1</v>
      </c>
      <c r="C31" s="1" t="s">
        <v>4</v>
      </c>
      <c r="D31" s="4">
        <v>4.75</v>
      </c>
      <c r="E31" s="4">
        <f>B31*D31</f>
        <v>4.75</v>
      </c>
    </row>
    <row r="32" spans="1:12" x14ac:dyDescent="0.25">
      <c r="A32" s="3" t="s">
        <v>84</v>
      </c>
      <c r="B32" s="1">
        <v>1</v>
      </c>
      <c r="C32" s="1" t="s">
        <v>4</v>
      </c>
      <c r="D32" s="4">
        <v>0.27</v>
      </c>
      <c r="E32" s="4">
        <f>B32*D32</f>
        <v>0.27</v>
      </c>
    </row>
    <row r="33" spans="1:6" x14ac:dyDescent="0.25">
      <c r="A33" s="3" t="s">
        <v>11</v>
      </c>
      <c r="B33" s="1">
        <v>10</v>
      </c>
      <c r="C33" s="1" t="s">
        <v>10</v>
      </c>
      <c r="D33" s="4">
        <v>0.04</v>
      </c>
      <c r="E33" s="4">
        <f>B33*D33</f>
        <v>0.4</v>
      </c>
    </row>
    <row r="34" spans="1:6" x14ac:dyDescent="0.25">
      <c r="A34" s="3" t="s">
        <v>18</v>
      </c>
      <c r="B34" s="1">
        <v>1</v>
      </c>
      <c r="C34" s="1" t="s">
        <v>4</v>
      </c>
      <c r="D34" s="7">
        <v>0.69</v>
      </c>
      <c r="E34" s="4">
        <f>B34*D34</f>
        <v>0.69</v>
      </c>
    </row>
    <row r="35" spans="1:6" x14ac:dyDescent="0.25">
      <c r="A35" s="3" t="s">
        <v>85</v>
      </c>
      <c r="B35" s="1">
        <v>1</v>
      </c>
      <c r="C35" s="1" t="s">
        <v>86</v>
      </c>
      <c r="D35" s="4">
        <v>0.36</v>
      </c>
      <c r="E35" s="4">
        <f>B35*D35</f>
        <v>0.36</v>
      </c>
    </row>
    <row r="36" spans="1:6" ht="18.75" x14ac:dyDescent="0.25">
      <c r="A36" s="46" t="s">
        <v>12</v>
      </c>
      <c r="B36" s="47"/>
      <c r="C36" s="47"/>
      <c r="D36" s="48"/>
      <c r="E36" s="11">
        <f>SUM(E28:E35)</f>
        <v>50.699999999999996</v>
      </c>
    </row>
    <row r="37" spans="1:6" ht="18.75" x14ac:dyDescent="0.25">
      <c r="A37" s="10"/>
      <c r="B37" s="10"/>
      <c r="C37" s="10"/>
      <c r="D37" s="11"/>
      <c r="E37" s="11"/>
    </row>
    <row r="38" spans="1:6" x14ac:dyDescent="0.25">
      <c r="A38" s="3"/>
      <c r="B38" s="3"/>
      <c r="C38" s="1"/>
      <c r="D38" s="4"/>
      <c r="E38" s="4"/>
    </row>
    <row r="39" spans="1:6" x14ac:dyDescent="0.25">
      <c r="A39" s="3" t="s">
        <v>40</v>
      </c>
      <c r="B39" s="3">
        <v>1</v>
      </c>
      <c r="C39" s="1" t="s">
        <v>13</v>
      </c>
      <c r="D39" s="4">
        <v>17</v>
      </c>
      <c r="E39" s="4">
        <v>17</v>
      </c>
    </row>
    <row r="40" spans="1:6" x14ac:dyDescent="0.25">
      <c r="A40" s="3"/>
      <c r="B40" s="3"/>
      <c r="C40" s="1"/>
      <c r="D40" s="4"/>
      <c r="E40" s="4"/>
    </row>
    <row r="41" spans="1:6" ht="18.75" x14ac:dyDescent="0.25">
      <c r="A41" s="46" t="s">
        <v>15</v>
      </c>
      <c r="B41" s="47"/>
      <c r="C41" s="47"/>
      <c r="D41" s="48"/>
      <c r="E41" s="11">
        <f>SUM(E38:E40)</f>
        <v>17</v>
      </c>
    </row>
    <row r="42" spans="1:6" ht="15.75" x14ac:dyDescent="0.25">
      <c r="A42" s="49" t="s">
        <v>41</v>
      </c>
      <c r="B42" s="50"/>
      <c r="C42" s="50"/>
      <c r="D42" s="51"/>
      <c r="E42" s="13">
        <f>SUM(E41,E36)*61%</f>
        <v>41.29699999999999</v>
      </c>
    </row>
    <row r="43" spans="1:6" ht="18.75" x14ac:dyDescent="0.25">
      <c r="A43" s="46" t="s">
        <v>14</v>
      </c>
      <c r="B43" s="47"/>
      <c r="C43" s="47"/>
      <c r="D43" s="48"/>
      <c r="E43" s="11">
        <f>SUM(E42,E41,E36)</f>
        <v>108.99699999999999</v>
      </c>
    </row>
    <row r="44" spans="1:6" ht="15.75" x14ac:dyDescent="0.25">
      <c r="A44" s="52" t="s">
        <v>16</v>
      </c>
      <c r="B44" s="53"/>
      <c r="C44" s="53"/>
      <c r="D44" s="54"/>
      <c r="E44" s="25">
        <f>(E45-E43)/E43</f>
        <v>1.2018954650127989</v>
      </c>
    </row>
    <row r="45" spans="1:6" ht="18.75" x14ac:dyDescent="0.25">
      <c r="A45" s="44" t="s">
        <v>17</v>
      </c>
      <c r="B45" s="44"/>
      <c r="C45" s="44"/>
      <c r="D45" s="44"/>
      <c r="E45" s="11">
        <v>240</v>
      </c>
      <c r="F45" s="24"/>
    </row>
    <row r="47" spans="1:6" x14ac:dyDescent="0.25">
      <c r="A47" s="3" t="s">
        <v>88</v>
      </c>
      <c r="B47" s="31"/>
    </row>
  </sheetData>
  <sortState xmlns:xlrd2="http://schemas.microsoft.com/office/spreadsheetml/2017/richdata2" ref="A31:E35">
    <sortCondition ref="A30"/>
  </sortState>
  <mergeCells count="21">
    <mergeCell ref="A1:E2"/>
    <mergeCell ref="G1:K2"/>
    <mergeCell ref="A12:D12"/>
    <mergeCell ref="G12:J12"/>
    <mergeCell ref="A17:D17"/>
    <mergeCell ref="G17:J17"/>
    <mergeCell ref="A18:D18"/>
    <mergeCell ref="G18:J18"/>
    <mergeCell ref="A19:D19"/>
    <mergeCell ref="G19:J19"/>
    <mergeCell ref="A20:D20"/>
    <mergeCell ref="G20:J20"/>
    <mergeCell ref="A43:D43"/>
    <mergeCell ref="A44:D44"/>
    <mergeCell ref="A45:D45"/>
    <mergeCell ref="A21:D21"/>
    <mergeCell ref="G21:J21"/>
    <mergeCell ref="A25:E26"/>
    <mergeCell ref="A36:D36"/>
    <mergeCell ref="A41:D41"/>
    <mergeCell ref="A42:D4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3"/>
  <sheetViews>
    <sheetView workbookViewId="0">
      <selection activeCell="F19" sqref="F19"/>
    </sheetView>
  </sheetViews>
  <sheetFormatPr defaultRowHeight="15" x14ac:dyDescent="0.25"/>
  <cols>
    <col min="1" max="1" width="29.7109375" customWidth="1"/>
    <col min="4" max="4" width="16.140625" customWidth="1"/>
    <col min="5" max="5" width="35.140625" customWidth="1"/>
  </cols>
  <sheetData>
    <row r="1" spans="1:5" x14ac:dyDescent="0.25">
      <c r="A1" s="45" t="s">
        <v>129</v>
      </c>
      <c r="B1" s="45"/>
      <c r="C1" s="45"/>
      <c r="D1" s="45"/>
      <c r="E1" s="45"/>
    </row>
    <row r="2" spans="1:5" x14ac:dyDescent="0.25">
      <c r="A2" s="45"/>
      <c r="B2" s="45"/>
      <c r="C2" s="45"/>
      <c r="D2" s="45"/>
      <c r="E2" s="45"/>
    </row>
    <row r="3" spans="1:5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</row>
    <row r="4" spans="1:5" x14ac:dyDescent="0.25">
      <c r="A4" s="31" t="s">
        <v>124</v>
      </c>
      <c r="B4" s="6">
        <v>3</v>
      </c>
      <c r="C4" s="6" t="s">
        <v>10</v>
      </c>
      <c r="D4" s="7">
        <v>19.25</v>
      </c>
      <c r="E4" s="7">
        <f t="shared" ref="E4:E8" si="0">B4*D4</f>
        <v>57.75</v>
      </c>
    </row>
    <row r="5" spans="1:5" x14ac:dyDescent="0.25">
      <c r="A5" s="3" t="s">
        <v>43</v>
      </c>
      <c r="B5" s="1">
        <v>1</v>
      </c>
      <c r="C5" s="1" t="s">
        <v>4</v>
      </c>
      <c r="D5" s="4">
        <v>4.75</v>
      </c>
      <c r="E5" s="4">
        <f t="shared" si="0"/>
        <v>4.75</v>
      </c>
    </row>
    <row r="6" spans="1:5" x14ac:dyDescent="0.25">
      <c r="A6" s="3" t="s">
        <v>84</v>
      </c>
      <c r="B6" s="1">
        <v>1</v>
      </c>
      <c r="C6" s="1" t="s">
        <v>4</v>
      </c>
      <c r="D6" s="4">
        <v>0.27</v>
      </c>
      <c r="E6" s="4">
        <f t="shared" si="0"/>
        <v>0.27</v>
      </c>
    </row>
    <row r="7" spans="1:5" x14ac:dyDescent="0.25">
      <c r="A7" s="5" t="s">
        <v>11</v>
      </c>
      <c r="B7" s="6">
        <v>10</v>
      </c>
      <c r="C7" s="6" t="s">
        <v>10</v>
      </c>
      <c r="D7" s="7">
        <v>0.04</v>
      </c>
      <c r="E7" s="7">
        <f t="shared" si="0"/>
        <v>0.4</v>
      </c>
    </row>
    <row r="8" spans="1:5" x14ac:dyDescent="0.25">
      <c r="A8" s="5" t="s">
        <v>18</v>
      </c>
      <c r="B8" s="6">
        <v>1</v>
      </c>
      <c r="C8" s="6" t="s">
        <v>4</v>
      </c>
      <c r="D8" s="7">
        <v>0.69</v>
      </c>
      <c r="E8" s="7">
        <f t="shared" si="0"/>
        <v>0.69</v>
      </c>
    </row>
    <row r="9" spans="1:5" x14ac:dyDescent="0.25">
      <c r="A9" s="3" t="s">
        <v>85</v>
      </c>
      <c r="B9" s="1">
        <v>1</v>
      </c>
      <c r="C9" s="1" t="s">
        <v>86</v>
      </c>
      <c r="D9" s="4">
        <v>0.36</v>
      </c>
      <c r="E9" s="4">
        <f>B9*D9</f>
        <v>0.36</v>
      </c>
    </row>
    <row r="10" spans="1:5" ht="18.75" x14ac:dyDescent="0.25">
      <c r="A10" s="46" t="s">
        <v>12</v>
      </c>
      <c r="B10" s="47"/>
      <c r="C10" s="47"/>
      <c r="D10" s="48"/>
      <c r="E10" s="11">
        <f>SUM(E4:E9)</f>
        <v>64.22</v>
      </c>
    </row>
    <row r="11" spans="1:5" x14ac:dyDescent="0.25">
      <c r="A11" s="3"/>
      <c r="B11" s="3"/>
      <c r="C11" s="1"/>
      <c r="D11" s="4"/>
      <c r="E11" s="4">
        <f>B11*D11</f>
        <v>0</v>
      </c>
    </row>
    <row r="12" spans="1:5" x14ac:dyDescent="0.25">
      <c r="A12" s="3" t="s">
        <v>40</v>
      </c>
      <c r="B12" s="3">
        <v>1</v>
      </c>
      <c r="C12" s="1" t="s">
        <v>13</v>
      </c>
      <c r="D12" s="4">
        <v>17</v>
      </c>
      <c r="E12" s="4">
        <v>17</v>
      </c>
    </row>
    <row r="13" spans="1:5" x14ac:dyDescent="0.25">
      <c r="A13" s="3"/>
      <c r="B13" s="3"/>
      <c r="C13" s="1"/>
      <c r="D13" s="4"/>
      <c r="E13" s="4"/>
    </row>
    <row r="14" spans="1:5" x14ac:dyDescent="0.25">
      <c r="A14" s="3"/>
      <c r="B14" s="3"/>
      <c r="C14" s="1"/>
      <c r="D14" s="4"/>
      <c r="E14" s="4">
        <f t="shared" ref="E14" si="1">B14*D14</f>
        <v>0</v>
      </c>
    </row>
    <row r="15" spans="1:5" ht="18.75" x14ac:dyDescent="0.25">
      <c r="A15" s="44" t="s">
        <v>15</v>
      </c>
      <c r="B15" s="44"/>
      <c r="C15" s="44"/>
      <c r="D15" s="44"/>
      <c r="E15" s="11">
        <f>SUM(E11:E14)</f>
        <v>17</v>
      </c>
    </row>
    <row r="16" spans="1:5" ht="15.75" x14ac:dyDescent="0.25">
      <c r="A16" s="49" t="s">
        <v>41</v>
      </c>
      <c r="B16" s="50"/>
      <c r="C16" s="50"/>
      <c r="D16" s="51"/>
      <c r="E16" s="13">
        <f>SUM(E15,E10)*61%</f>
        <v>49.544199999999996</v>
      </c>
    </row>
    <row r="17" spans="1:5" ht="18.75" x14ac:dyDescent="0.25">
      <c r="A17" s="44" t="s">
        <v>14</v>
      </c>
      <c r="B17" s="44"/>
      <c r="C17" s="44"/>
      <c r="D17" s="44"/>
      <c r="E17" s="11">
        <f>E10+E15+E16</f>
        <v>130.76419999999999</v>
      </c>
    </row>
    <row r="18" spans="1:5" ht="15.75" x14ac:dyDescent="0.25">
      <c r="A18" s="55" t="s">
        <v>16</v>
      </c>
      <c r="B18" s="55"/>
      <c r="C18" s="55"/>
      <c r="D18" s="55"/>
      <c r="E18" s="12">
        <f>(E19-E17)/E17</f>
        <v>2.1354147388964262</v>
      </c>
    </row>
    <row r="19" spans="1:5" ht="18.75" x14ac:dyDescent="0.25">
      <c r="A19" s="44" t="s">
        <v>17</v>
      </c>
      <c r="B19" s="44"/>
      <c r="C19" s="44"/>
      <c r="D19" s="44"/>
      <c r="E19" s="11">
        <v>410</v>
      </c>
    </row>
    <row r="21" spans="1:5" x14ac:dyDescent="0.25">
      <c r="A21" s="3" t="s">
        <v>130</v>
      </c>
      <c r="B21" s="31"/>
    </row>
    <row r="23" spans="1:5" x14ac:dyDescent="0.25">
      <c r="A23" t="s">
        <v>121</v>
      </c>
    </row>
  </sheetData>
  <mergeCells count="7">
    <mergeCell ref="A19:D19"/>
    <mergeCell ref="A1:E2"/>
    <mergeCell ref="A10:D10"/>
    <mergeCell ref="A15:D15"/>
    <mergeCell ref="A16:D16"/>
    <mergeCell ref="A17:D17"/>
    <mergeCell ref="A18:D18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2"/>
  <sheetViews>
    <sheetView workbookViewId="0">
      <selection activeCell="E28" sqref="E28"/>
    </sheetView>
  </sheetViews>
  <sheetFormatPr defaultRowHeight="15" x14ac:dyDescent="0.25"/>
  <cols>
    <col min="1" max="1" width="24.85546875" bestFit="1" customWidth="1"/>
    <col min="2" max="2" width="11.42578125" bestFit="1" customWidth="1"/>
    <col min="3" max="3" width="8.5703125" bestFit="1" customWidth="1"/>
    <col min="4" max="4" width="13.85546875" bestFit="1" customWidth="1"/>
    <col min="5" max="5" width="14.5703125" bestFit="1" customWidth="1"/>
  </cols>
  <sheetData>
    <row r="1" spans="1:5" x14ac:dyDescent="0.25">
      <c r="A1" s="45" t="s">
        <v>52</v>
      </c>
      <c r="B1" s="45"/>
      <c r="C1" s="45"/>
      <c r="D1" s="45"/>
      <c r="E1" s="45"/>
    </row>
    <row r="2" spans="1:5" x14ac:dyDescent="0.25">
      <c r="A2" s="45"/>
      <c r="B2" s="45"/>
      <c r="C2" s="45"/>
      <c r="D2" s="45"/>
      <c r="E2" s="45"/>
    </row>
    <row r="3" spans="1:5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</row>
    <row r="4" spans="1:5" ht="16.5" customHeight="1" x14ac:dyDescent="0.25">
      <c r="A4" s="31" t="s">
        <v>8</v>
      </c>
      <c r="B4" s="6">
        <v>2</v>
      </c>
      <c r="C4" s="6" t="s">
        <v>10</v>
      </c>
      <c r="D4" s="7">
        <v>14.26</v>
      </c>
      <c r="E4" s="7">
        <f t="shared" ref="E4:E10" si="0">B4*D4</f>
        <v>28.52</v>
      </c>
    </row>
    <row r="5" spans="1:5" x14ac:dyDescent="0.25">
      <c r="A5" s="3" t="s">
        <v>43</v>
      </c>
      <c r="B5" s="1">
        <v>1</v>
      </c>
      <c r="C5" s="1" t="s">
        <v>4</v>
      </c>
      <c r="D5" s="4">
        <v>4.75</v>
      </c>
      <c r="E5" s="4">
        <f t="shared" si="0"/>
        <v>4.75</v>
      </c>
    </row>
    <row r="6" spans="1:5" ht="16.5" customHeight="1" x14ac:dyDescent="0.25">
      <c r="A6" s="3" t="s">
        <v>84</v>
      </c>
      <c r="B6" s="1">
        <v>1</v>
      </c>
      <c r="C6" s="1" t="s">
        <v>4</v>
      </c>
      <c r="D6" s="4">
        <v>0.27</v>
      </c>
      <c r="E6" s="4">
        <f t="shared" si="0"/>
        <v>0.27</v>
      </c>
    </row>
    <row r="7" spans="1:5" x14ac:dyDescent="0.25">
      <c r="A7" s="5" t="s">
        <v>11</v>
      </c>
      <c r="B7" s="6">
        <v>10</v>
      </c>
      <c r="C7" s="6" t="s">
        <v>10</v>
      </c>
      <c r="D7" s="7">
        <v>0.04</v>
      </c>
      <c r="E7" s="7">
        <f t="shared" si="0"/>
        <v>0.4</v>
      </c>
    </row>
    <row r="8" spans="1:5" x14ac:dyDescent="0.25">
      <c r="A8" s="5" t="s">
        <v>18</v>
      </c>
      <c r="B8" s="6">
        <v>1</v>
      </c>
      <c r="C8" s="6" t="s">
        <v>4</v>
      </c>
      <c r="D8" s="7">
        <v>0.69</v>
      </c>
      <c r="E8" s="7">
        <f t="shared" si="0"/>
        <v>0.69</v>
      </c>
    </row>
    <row r="9" spans="1:5" x14ac:dyDescent="0.25">
      <c r="A9" s="3" t="s">
        <v>85</v>
      </c>
      <c r="B9" s="1">
        <v>1</v>
      </c>
      <c r="C9" s="1" t="s">
        <v>86</v>
      </c>
      <c r="D9" s="4">
        <v>0.36</v>
      </c>
      <c r="E9" s="4">
        <f t="shared" si="0"/>
        <v>0.36</v>
      </c>
    </row>
    <row r="10" spans="1:5" x14ac:dyDescent="0.25">
      <c r="A10" s="31" t="s">
        <v>42</v>
      </c>
      <c r="B10" s="6">
        <v>1</v>
      </c>
      <c r="C10" s="6" t="s">
        <v>4</v>
      </c>
      <c r="D10" s="7">
        <v>2.39</v>
      </c>
      <c r="E10" s="7">
        <f t="shared" si="0"/>
        <v>2.39</v>
      </c>
    </row>
    <row r="11" spans="1:5" ht="18.75" x14ac:dyDescent="0.25">
      <c r="A11" s="46" t="s">
        <v>12</v>
      </c>
      <c r="B11" s="47"/>
      <c r="C11" s="47"/>
      <c r="D11" s="48"/>
      <c r="E11" s="17">
        <f>SUM(E4:E10)</f>
        <v>37.379999999999995</v>
      </c>
    </row>
    <row r="12" spans="1:5" ht="18.75" x14ac:dyDescent="0.25">
      <c r="A12" s="19"/>
      <c r="B12" s="20"/>
      <c r="C12" s="20"/>
      <c r="D12" s="21"/>
      <c r="E12" s="17"/>
    </row>
    <row r="13" spans="1:5" x14ac:dyDescent="0.25">
      <c r="A13" s="3"/>
      <c r="B13" s="3"/>
      <c r="C13" s="1"/>
      <c r="D13" s="4"/>
      <c r="E13" s="4">
        <f>B13*D13</f>
        <v>0</v>
      </c>
    </row>
    <row r="14" spans="1:5" x14ac:dyDescent="0.25">
      <c r="A14" s="3" t="s">
        <v>40</v>
      </c>
      <c r="B14" s="3">
        <v>1</v>
      </c>
      <c r="C14" s="1" t="s">
        <v>13</v>
      </c>
      <c r="D14" s="4">
        <v>17</v>
      </c>
      <c r="E14" s="4">
        <v>17</v>
      </c>
    </row>
    <row r="15" spans="1:5" x14ac:dyDescent="0.25">
      <c r="A15" s="3"/>
      <c r="B15" s="3"/>
      <c r="C15" s="1"/>
      <c r="D15" s="4"/>
      <c r="E15" s="4">
        <f t="shared" ref="E15" si="1">B15*D15</f>
        <v>0</v>
      </c>
    </row>
    <row r="16" spans="1:5" ht="18.75" x14ac:dyDescent="0.25">
      <c r="A16" s="44" t="s">
        <v>15</v>
      </c>
      <c r="B16" s="44"/>
      <c r="C16" s="44"/>
      <c r="D16" s="44"/>
      <c r="E16" s="11">
        <f>SUM(E13:E15)</f>
        <v>17</v>
      </c>
    </row>
    <row r="17" spans="1:6" ht="15.75" x14ac:dyDescent="0.25">
      <c r="A17" s="49" t="s">
        <v>41</v>
      </c>
      <c r="B17" s="50"/>
      <c r="C17" s="50"/>
      <c r="D17" s="51"/>
      <c r="E17" s="13">
        <f>SUM(E16,E11)*61%</f>
        <v>33.171799999999998</v>
      </c>
    </row>
    <row r="18" spans="1:6" ht="18.75" x14ac:dyDescent="0.25">
      <c r="A18" s="44" t="s">
        <v>14</v>
      </c>
      <c r="B18" s="44"/>
      <c r="C18" s="44"/>
      <c r="D18" s="44"/>
      <c r="E18" s="11">
        <f>E11+E16+E17</f>
        <v>87.551799999999986</v>
      </c>
    </row>
    <row r="19" spans="1:6" ht="15.75" x14ac:dyDescent="0.25">
      <c r="A19" s="55" t="s">
        <v>16</v>
      </c>
      <c r="B19" s="55"/>
      <c r="C19" s="55"/>
      <c r="D19" s="55"/>
      <c r="E19" s="12">
        <f>(E20-E18)/E18</f>
        <v>2.8834153038544046</v>
      </c>
    </row>
    <row r="20" spans="1:6" ht="18.75" x14ac:dyDescent="0.25">
      <c r="A20" s="44" t="s">
        <v>17</v>
      </c>
      <c r="B20" s="44"/>
      <c r="C20" s="44"/>
      <c r="D20" s="44"/>
      <c r="E20" s="11">
        <v>340</v>
      </c>
      <c r="F20" s="24"/>
    </row>
    <row r="22" spans="1:6" x14ac:dyDescent="0.25">
      <c r="A22" s="3" t="s">
        <v>88</v>
      </c>
      <c r="B22" s="31"/>
    </row>
  </sheetData>
  <sortState xmlns:xlrd2="http://schemas.microsoft.com/office/spreadsheetml/2017/richdata2" ref="A5:E10">
    <sortCondition ref="A5"/>
  </sortState>
  <mergeCells count="7">
    <mergeCell ref="A19:D19"/>
    <mergeCell ref="A20:D20"/>
    <mergeCell ref="A1:E2"/>
    <mergeCell ref="A11:D11"/>
    <mergeCell ref="A16:D16"/>
    <mergeCell ref="A17:D17"/>
    <mergeCell ref="A18:D18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3"/>
  <sheetViews>
    <sheetView workbookViewId="0">
      <selection activeCell="G16" sqref="G16"/>
    </sheetView>
  </sheetViews>
  <sheetFormatPr defaultRowHeight="15" x14ac:dyDescent="0.25"/>
  <cols>
    <col min="1" max="1" width="24.85546875" bestFit="1" customWidth="1"/>
    <col min="2" max="2" width="11.42578125" bestFit="1" customWidth="1"/>
    <col min="3" max="3" width="8.5703125" bestFit="1" customWidth="1"/>
    <col min="4" max="4" width="13.85546875" bestFit="1" customWidth="1"/>
    <col min="5" max="5" width="18.140625" bestFit="1" customWidth="1"/>
  </cols>
  <sheetData>
    <row r="1" spans="1:5" ht="15" customHeight="1" x14ac:dyDescent="0.25">
      <c r="A1" s="45" t="s">
        <v>66</v>
      </c>
      <c r="B1" s="45"/>
      <c r="C1" s="45"/>
      <c r="D1" s="45"/>
      <c r="E1" s="45"/>
    </row>
    <row r="2" spans="1:5" ht="15" customHeight="1" x14ac:dyDescent="0.25">
      <c r="A2" s="45"/>
      <c r="B2" s="45"/>
      <c r="C2" s="45"/>
      <c r="D2" s="45"/>
      <c r="E2" s="45"/>
    </row>
    <row r="3" spans="1:5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</row>
    <row r="4" spans="1:5" x14ac:dyDescent="0.25">
      <c r="A4" s="31" t="s">
        <v>37</v>
      </c>
      <c r="B4" s="1">
        <v>2</v>
      </c>
      <c r="C4" s="1" t="s">
        <v>10</v>
      </c>
      <c r="D4" s="4">
        <v>10.16</v>
      </c>
      <c r="E4" s="4">
        <f>B4*D4</f>
        <v>20.32</v>
      </c>
    </row>
    <row r="5" spans="1:5" x14ac:dyDescent="0.25">
      <c r="A5" s="31" t="s">
        <v>87</v>
      </c>
      <c r="B5" s="6">
        <v>1</v>
      </c>
      <c r="C5" s="6" t="s">
        <v>4</v>
      </c>
      <c r="D5" s="7">
        <v>7.49</v>
      </c>
      <c r="E5" s="7">
        <f t="shared" ref="E5" si="0">B5*D5</f>
        <v>7.49</v>
      </c>
    </row>
    <row r="6" spans="1:5" x14ac:dyDescent="0.25">
      <c r="A6" s="3" t="s">
        <v>61</v>
      </c>
      <c r="B6" s="18">
        <v>2</v>
      </c>
      <c r="C6" s="3" t="s">
        <v>4</v>
      </c>
      <c r="D6" s="4">
        <v>0.16</v>
      </c>
      <c r="E6" s="4">
        <f t="shared" ref="E6:E11" si="1">B6*D6</f>
        <v>0.32</v>
      </c>
    </row>
    <row r="7" spans="1:5" x14ac:dyDescent="0.25">
      <c r="A7" t="s">
        <v>43</v>
      </c>
      <c r="B7" s="1">
        <v>1</v>
      </c>
      <c r="C7" s="1" t="s">
        <v>4</v>
      </c>
      <c r="D7" s="4">
        <v>4.75</v>
      </c>
      <c r="E7" s="4">
        <f t="shared" si="1"/>
        <v>4.75</v>
      </c>
    </row>
    <row r="8" spans="1:5" x14ac:dyDescent="0.25">
      <c r="A8" s="3" t="s">
        <v>84</v>
      </c>
      <c r="B8" s="1">
        <v>1</v>
      </c>
      <c r="C8" s="1" t="s">
        <v>4</v>
      </c>
      <c r="D8" s="4">
        <v>0.27</v>
      </c>
      <c r="E8" s="4">
        <f t="shared" si="1"/>
        <v>0.27</v>
      </c>
    </row>
    <row r="9" spans="1:5" x14ac:dyDescent="0.25">
      <c r="A9" s="3" t="s">
        <v>11</v>
      </c>
      <c r="B9" s="1">
        <v>10</v>
      </c>
      <c r="C9" s="1" t="s">
        <v>10</v>
      </c>
      <c r="D9" s="4">
        <v>0.04</v>
      </c>
      <c r="E9" s="4">
        <f t="shared" si="1"/>
        <v>0.4</v>
      </c>
    </row>
    <row r="10" spans="1:5" x14ac:dyDescent="0.25">
      <c r="A10" s="3" t="s">
        <v>18</v>
      </c>
      <c r="B10" s="1">
        <v>1</v>
      </c>
      <c r="C10" s="1" t="s">
        <v>4</v>
      </c>
      <c r="D10" s="7">
        <v>0.69</v>
      </c>
      <c r="E10" s="4">
        <f t="shared" si="1"/>
        <v>0.69</v>
      </c>
    </row>
    <row r="11" spans="1:5" x14ac:dyDescent="0.25">
      <c r="A11" s="3" t="s">
        <v>85</v>
      </c>
      <c r="B11" s="1">
        <v>1</v>
      </c>
      <c r="C11" s="1" t="s">
        <v>86</v>
      </c>
      <c r="D11" s="4">
        <v>0.36</v>
      </c>
      <c r="E11" s="4">
        <f t="shared" si="1"/>
        <v>0.36</v>
      </c>
    </row>
    <row r="12" spans="1:5" ht="18.75" x14ac:dyDescent="0.25">
      <c r="A12" s="46" t="s">
        <v>12</v>
      </c>
      <c r="B12" s="47"/>
      <c r="C12" s="47"/>
      <c r="D12" s="48"/>
      <c r="E12" s="11">
        <f>SUM(E4:E11)</f>
        <v>34.6</v>
      </c>
    </row>
    <row r="13" spans="1:5" ht="18.75" x14ac:dyDescent="0.25">
      <c r="A13" s="10"/>
      <c r="B13" s="10"/>
      <c r="C13" s="10"/>
      <c r="D13" s="11"/>
      <c r="E13" s="11"/>
    </row>
    <row r="14" spans="1:5" x14ac:dyDescent="0.25">
      <c r="A14" s="3"/>
      <c r="B14" s="3"/>
      <c r="C14" s="1"/>
      <c r="D14" s="4"/>
      <c r="E14" s="4"/>
    </row>
    <row r="15" spans="1:5" x14ac:dyDescent="0.25">
      <c r="A15" s="3" t="s">
        <v>40</v>
      </c>
      <c r="B15" s="3">
        <v>1</v>
      </c>
      <c r="C15" s="1" t="s">
        <v>13</v>
      </c>
      <c r="D15" s="4">
        <v>17</v>
      </c>
      <c r="E15" s="4">
        <v>17</v>
      </c>
    </row>
    <row r="16" spans="1:5" x14ac:dyDescent="0.25">
      <c r="A16" s="3"/>
      <c r="B16" s="3"/>
      <c r="C16" s="1"/>
      <c r="D16" s="4"/>
      <c r="E16" s="4"/>
    </row>
    <row r="17" spans="1:6" ht="18.75" x14ac:dyDescent="0.25">
      <c r="A17" s="46" t="s">
        <v>15</v>
      </c>
      <c r="B17" s="47"/>
      <c r="C17" s="47"/>
      <c r="D17" s="48"/>
      <c r="E17" s="11">
        <f>SUM(E14:E16)</f>
        <v>17</v>
      </c>
    </row>
    <row r="18" spans="1:6" ht="15.75" x14ac:dyDescent="0.25">
      <c r="A18" s="49" t="s">
        <v>41</v>
      </c>
      <c r="B18" s="50"/>
      <c r="C18" s="50"/>
      <c r="D18" s="51"/>
      <c r="E18" s="13">
        <f>SUM(E17,E12)*61%</f>
        <v>31.475999999999999</v>
      </c>
    </row>
    <row r="19" spans="1:6" ht="18.75" x14ac:dyDescent="0.25">
      <c r="A19" s="46" t="s">
        <v>14</v>
      </c>
      <c r="B19" s="47"/>
      <c r="C19" s="47"/>
      <c r="D19" s="48"/>
      <c r="E19" s="11">
        <f>SUM(E18,E17,E12)</f>
        <v>83.075999999999993</v>
      </c>
    </row>
    <row r="20" spans="1:6" ht="15.75" x14ac:dyDescent="0.25">
      <c r="A20" s="52" t="s">
        <v>16</v>
      </c>
      <c r="B20" s="53"/>
      <c r="C20" s="53"/>
      <c r="D20" s="54"/>
      <c r="E20" s="25">
        <f>(E21-E19)/E19</f>
        <v>2.7315229428475134</v>
      </c>
    </row>
    <row r="21" spans="1:6" ht="18.75" x14ac:dyDescent="0.25">
      <c r="A21" s="44" t="s">
        <v>17</v>
      </c>
      <c r="B21" s="44"/>
      <c r="C21" s="44"/>
      <c r="D21" s="44"/>
      <c r="E21" s="11">
        <v>310</v>
      </c>
      <c r="F21" s="24"/>
    </row>
    <row r="23" spans="1:6" x14ac:dyDescent="0.25">
      <c r="A23" s="3" t="s">
        <v>88</v>
      </c>
      <c r="B23" s="31"/>
    </row>
  </sheetData>
  <sortState xmlns:xlrd2="http://schemas.microsoft.com/office/spreadsheetml/2017/richdata2" ref="A6:E11">
    <sortCondition ref="A5"/>
  </sortState>
  <mergeCells count="7">
    <mergeCell ref="A21:D21"/>
    <mergeCell ref="A1:E2"/>
    <mergeCell ref="A12:D12"/>
    <mergeCell ref="A17:D17"/>
    <mergeCell ref="A18:D18"/>
    <mergeCell ref="A19:D19"/>
    <mergeCell ref="A20:D20"/>
  </mergeCells>
  <pageMargins left="0.25" right="0.25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4"/>
  <sheetViews>
    <sheetView workbookViewId="0">
      <selection activeCell="A4" sqref="A4"/>
    </sheetView>
  </sheetViews>
  <sheetFormatPr defaultRowHeight="15" x14ac:dyDescent="0.25"/>
  <cols>
    <col min="1" max="1" width="37.42578125" customWidth="1"/>
    <col min="2" max="2" width="11" customWidth="1"/>
    <col min="3" max="3" width="14.85546875" customWidth="1"/>
    <col min="4" max="4" width="20.85546875" customWidth="1"/>
    <col min="5" max="5" width="28" customWidth="1"/>
  </cols>
  <sheetData>
    <row r="1" spans="1:5" x14ac:dyDescent="0.25">
      <c r="A1" s="45" t="s">
        <v>125</v>
      </c>
      <c r="B1" s="45"/>
      <c r="C1" s="45"/>
      <c r="D1" s="45"/>
      <c r="E1" s="45"/>
    </row>
    <row r="2" spans="1:5" x14ac:dyDescent="0.25">
      <c r="A2" s="45"/>
      <c r="B2" s="45"/>
      <c r="C2" s="45"/>
      <c r="D2" s="45"/>
      <c r="E2" s="45"/>
    </row>
    <row r="3" spans="1:5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</row>
    <row r="4" spans="1:5" x14ac:dyDescent="0.25">
      <c r="A4" s="31" t="s">
        <v>124</v>
      </c>
      <c r="B4" s="6">
        <v>2</v>
      </c>
      <c r="C4" s="6" t="s">
        <v>123</v>
      </c>
      <c r="D4" s="7">
        <v>19.25</v>
      </c>
      <c r="E4" s="4">
        <f t="shared" ref="E4:E10" si="0">B4*D4</f>
        <v>38.5</v>
      </c>
    </row>
    <row r="5" spans="1:5" x14ac:dyDescent="0.25">
      <c r="A5" s="3" t="s">
        <v>43</v>
      </c>
      <c r="B5" s="1">
        <v>1</v>
      </c>
      <c r="C5" s="1" t="s">
        <v>4</v>
      </c>
      <c r="D5" s="4">
        <v>4.75</v>
      </c>
      <c r="E5" s="4">
        <f t="shared" si="0"/>
        <v>4.75</v>
      </c>
    </row>
    <row r="6" spans="1:5" x14ac:dyDescent="0.25">
      <c r="A6" s="3" t="s">
        <v>84</v>
      </c>
      <c r="B6" s="1">
        <v>1</v>
      </c>
      <c r="C6" s="1" t="s">
        <v>4</v>
      </c>
      <c r="D6" s="4">
        <v>0.27</v>
      </c>
      <c r="E6" s="4">
        <f t="shared" si="0"/>
        <v>0.27</v>
      </c>
    </row>
    <row r="7" spans="1:5" x14ac:dyDescent="0.25">
      <c r="A7" s="5" t="s">
        <v>11</v>
      </c>
      <c r="B7" s="6">
        <v>10</v>
      </c>
      <c r="C7" s="6" t="s">
        <v>10</v>
      </c>
      <c r="D7" s="7">
        <v>0.02</v>
      </c>
      <c r="E7" s="7">
        <f t="shared" si="0"/>
        <v>0.2</v>
      </c>
    </row>
    <row r="8" spans="1:5" x14ac:dyDescent="0.25">
      <c r="A8" s="5" t="s">
        <v>18</v>
      </c>
      <c r="B8" s="6">
        <v>1</v>
      </c>
      <c r="C8" s="6" t="s">
        <v>4</v>
      </c>
      <c r="D8" s="7">
        <v>0.69</v>
      </c>
      <c r="E8" s="7">
        <f t="shared" si="0"/>
        <v>0.69</v>
      </c>
    </row>
    <row r="9" spans="1:5" x14ac:dyDescent="0.25">
      <c r="A9" s="3" t="s">
        <v>85</v>
      </c>
      <c r="B9" s="1">
        <v>1</v>
      </c>
      <c r="C9" s="1" t="s">
        <v>86</v>
      </c>
      <c r="D9" s="4">
        <v>0.36</v>
      </c>
      <c r="E9" s="4">
        <f t="shared" si="0"/>
        <v>0.36</v>
      </c>
    </row>
    <row r="10" spans="1:5" x14ac:dyDescent="0.25">
      <c r="A10" s="31" t="s">
        <v>122</v>
      </c>
      <c r="B10" s="6">
        <v>1</v>
      </c>
      <c r="C10" s="6" t="s">
        <v>4</v>
      </c>
      <c r="D10" s="7">
        <v>12.35</v>
      </c>
      <c r="E10" s="7">
        <f t="shared" si="0"/>
        <v>12.35</v>
      </c>
    </row>
    <row r="11" spans="1:5" ht="18.75" x14ac:dyDescent="0.25">
      <c r="A11" s="46" t="s">
        <v>12</v>
      </c>
      <c r="B11" s="47"/>
      <c r="C11" s="47"/>
      <c r="D11" s="48"/>
      <c r="E11" s="17">
        <f>SUM(E4:E10)</f>
        <v>57.120000000000005</v>
      </c>
    </row>
    <row r="12" spans="1:5" ht="18.75" x14ac:dyDescent="0.25">
      <c r="A12" s="19"/>
      <c r="B12" s="20"/>
      <c r="C12" s="20"/>
      <c r="D12" s="21"/>
      <c r="E12" s="17"/>
    </row>
    <row r="13" spans="1:5" x14ac:dyDescent="0.25">
      <c r="A13" s="3"/>
      <c r="B13" s="3"/>
      <c r="C13" s="1"/>
      <c r="D13" s="4"/>
      <c r="E13" s="4">
        <f>B13*D13</f>
        <v>0</v>
      </c>
    </row>
    <row r="14" spans="1:5" x14ac:dyDescent="0.25">
      <c r="A14" s="3" t="s">
        <v>40</v>
      </c>
      <c r="B14" s="3">
        <v>1</v>
      </c>
      <c r="C14" s="1" t="s">
        <v>13</v>
      </c>
      <c r="D14" s="4">
        <v>17</v>
      </c>
      <c r="E14" s="4">
        <v>17</v>
      </c>
    </row>
    <row r="15" spans="1:5" x14ac:dyDescent="0.25">
      <c r="A15" s="3"/>
      <c r="B15" s="3"/>
      <c r="C15" s="1"/>
      <c r="D15" s="4"/>
      <c r="E15" s="4">
        <f>B15*D15</f>
        <v>0</v>
      </c>
    </row>
    <row r="16" spans="1:5" ht="18.75" x14ac:dyDescent="0.25">
      <c r="A16" s="44" t="s">
        <v>15</v>
      </c>
      <c r="B16" s="44"/>
      <c r="C16" s="44"/>
      <c r="D16" s="44"/>
      <c r="E16" s="11">
        <f>SUM(E13:E15)</f>
        <v>17</v>
      </c>
    </row>
    <row r="17" spans="1:5" ht="15.75" x14ac:dyDescent="0.25">
      <c r="A17" s="49" t="s">
        <v>41</v>
      </c>
      <c r="B17" s="50"/>
      <c r="C17" s="50"/>
      <c r="D17" s="51"/>
      <c r="E17" s="13">
        <f>SUM(E16,E11)*61%</f>
        <v>45.213200000000001</v>
      </c>
    </row>
    <row r="18" spans="1:5" ht="18.75" x14ac:dyDescent="0.25">
      <c r="A18" s="44" t="s">
        <v>14</v>
      </c>
      <c r="B18" s="44"/>
      <c r="C18" s="44"/>
      <c r="D18" s="44"/>
      <c r="E18" s="11">
        <f>E11+E16+E17</f>
        <v>119.33320000000001</v>
      </c>
    </row>
    <row r="19" spans="1:5" ht="15.75" x14ac:dyDescent="0.25">
      <c r="A19" s="55" t="s">
        <v>16</v>
      </c>
      <c r="B19" s="55"/>
      <c r="C19" s="55"/>
      <c r="D19" s="55"/>
      <c r="E19" s="12">
        <f>(E20-E18)/E18</f>
        <v>2.6033559814033307</v>
      </c>
    </row>
    <row r="20" spans="1:5" ht="18.75" x14ac:dyDescent="0.25">
      <c r="A20" s="44" t="s">
        <v>17</v>
      </c>
      <c r="B20" s="44"/>
      <c r="C20" s="44"/>
      <c r="D20" s="44"/>
      <c r="E20" s="11">
        <v>430</v>
      </c>
    </row>
    <row r="22" spans="1:5" x14ac:dyDescent="0.25">
      <c r="A22" s="3" t="s">
        <v>88</v>
      </c>
      <c r="B22" s="31"/>
    </row>
    <row r="24" spans="1:5" x14ac:dyDescent="0.25">
      <c r="A24" t="s">
        <v>121</v>
      </c>
    </row>
  </sheetData>
  <mergeCells count="7">
    <mergeCell ref="A20:D20"/>
    <mergeCell ref="A1:E2"/>
    <mergeCell ref="A11:D11"/>
    <mergeCell ref="A16:D16"/>
    <mergeCell ref="A17:D17"/>
    <mergeCell ref="A18:D18"/>
    <mergeCell ref="A19:D19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23"/>
  <sheetViews>
    <sheetView topLeftCell="A10" workbookViewId="0">
      <selection activeCell="I1" sqref="I1:M20"/>
    </sheetView>
  </sheetViews>
  <sheetFormatPr defaultRowHeight="15" x14ac:dyDescent="0.25"/>
  <cols>
    <col min="1" max="1" width="24.85546875" bestFit="1" customWidth="1"/>
    <col min="2" max="2" width="11.42578125" bestFit="1" customWidth="1"/>
    <col min="3" max="3" width="8.5703125" bestFit="1" customWidth="1"/>
    <col min="4" max="4" width="13.85546875" bestFit="1" customWidth="1"/>
    <col min="5" max="5" width="18.140625" bestFit="1" customWidth="1"/>
    <col min="9" max="9" width="23.140625" bestFit="1" customWidth="1"/>
    <col min="10" max="10" width="10.85546875" bestFit="1" customWidth="1"/>
    <col min="12" max="12" width="13.140625" bestFit="1" customWidth="1"/>
    <col min="13" max="13" width="13.28515625" bestFit="1" customWidth="1"/>
  </cols>
  <sheetData>
    <row r="1" spans="1:13" x14ac:dyDescent="0.25">
      <c r="A1" s="45" t="s">
        <v>67</v>
      </c>
      <c r="B1" s="45"/>
      <c r="C1" s="45"/>
      <c r="D1" s="45"/>
      <c r="E1" s="45"/>
      <c r="I1" s="45" t="s">
        <v>169</v>
      </c>
      <c r="J1" s="45"/>
      <c r="K1" s="45"/>
      <c r="L1" s="45"/>
      <c r="M1" s="45"/>
    </row>
    <row r="2" spans="1:13" x14ac:dyDescent="0.25">
      <c r="A2" s="45"/>
      <c r="B2" s="45"/>
      <c r="C2" s="45"/>
      <c r="D2" s="45"/>
      <c r="E2" s="45"/>
      <c r="I2" s="45"/>
      <c r="J2" s="45"/>
      <c r="K2" s="45"/>
      <c r="L2" s="45"/>
      <c r="M2" s="45"/>
    </row>
    <row r="3" spans="1:13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  <c r="I3" s="2" t="s">
        <v>7</v>
      </c>
      <c r="J3" s="2" t="s">
        <v>3</v>
      </c>
      <c r="K3" s="2" t="s">
        <v>4</v>
      </c>
      <c r="L3" s="2" t="s">
        <v>6</v>
      </c>
      <c r="M3" s="2" t="s">
        <v>5</v>
      </c>
    </row>
    <row r="4" spans="1:13" x14ac:dyDescent="0.25">
      <c r="A4" s="31" t="s">
        <v>37</v>
      </c>
      <c r="B4" s="1">
        <v>1</v>
      </c>
      <c r="C4" s="1" t="s">
        <v>10</v>
      </c>
      <c r="D4" s="4">
        <v>10.16</v>
      </c>
      <c r="E4" s="4">
        <f>B4*D4</f>
        <v>10.16</v>
      </c>
      <c r="I4" s="31" t="s">
        <v>37</v>
      </c>
      <c r="J4" s="1">
        <v>1.5</v>
      </c>
      <c r="K4" s="1" t="s">
        <v>10</v>
      </c>
      <c r="L4" s="4">
        <v>7.79</v>
      </c>
      <c r="M4" s="4">
        <f>J4*L4</f>
        <v>11.685</v>
      </c>
    </row>
    <row r="5" spans="1:13" x14ac:dyDescent="0.25">
      <c r="A5" s="5" t="s">
        <v>51</v>
      </c>
      <c r="B5" s="6">
        <v>4</v>
      </c>
      <c r="C5" s="6" t="s">
        <v>4</v>
      </c>
      <c r="D5" s="7">
        <v>0.16</v>
      </c>
      <c r="E5" s="7">
        <f t="shared" ref="E5" si="0">B5*D5</f>
        <v>0.64</v>
      </c>
      <c r="I5" s="5" t="s">
        <v>23</v>
      </c>
      <c r="J5" s="6">
        <v>1</v>
      </c>
      <c r="K5" s="6" t="s">
        <v>4</v>
      </c>
      <c r="L5" s="7">
        <v>3.99</v>
      </c>
      <c r="M5" s="7">
        <f t="shared" ref="M5" si="1">J5*L5</f>
        <v>3.99</v>
      </c>
    </row>
    <row r="6" spans="1:13" x14ac:dyDescent="0.25">
      <c r="A6" s="3" t="s">
        <v>43</v>
      </c>
      <c r="B6" s="1">
        <v>1</v>
      </c>
      <c r="C6" s="1" t="s">
        <v>4</v>
      </c>
      <c r="D6" s="4">
        <v>4.75</v>
      </c>
      <c r="E6" s="4">
        <f>B6*D6</f>
        <v>4.75</v>
      </c>
      <c r="I6" s="3" t="s">
        <v>43</v>
      </c>
      <c r="J6" s="1">
        <v>1</v>
      </c>
      <c r="K6" s="1" t="s">
        <v>4</v>
      </c>
      <c r="L6" s="4">
        <v>4.75</v>
      </c>
      <c r="M6" s="4">
        <f>J6*L6</f>
        <v>4.75</v>
      </c>
    </row>
    <row r="7" spans="1:13" x14ac:dyDescent="0.25">
      <c r="A7" s="3" t="s">
        <v>84</v>
      </c>
      <c r="B7" s="1">
        <v>1</v>
      </c>
      <c r="C7" s="1" t="s">
        <v>4</v>
      </c>
      <c r="D7" s="4">
        <v>0.27</v>
      </c>
      <c r="E7" s="4">
        <f>B7*D7</f>
        <v>0.27</v>
      </c>
      <c r="I7" s="3" t="s">
        <v>84</v>
      </c>
      <c r="J7" s="1">
        <v>1</v>
      </c>
      <c r="K7" s="1" t="s">
        <v>4</v>
      </c>
      <c r="L7" s="4">
        <v>0.27</v>
      </c>
      <c r="M7" s="4">
        <f>J7*L7</f>
        <v>0.27</v>
      </c>
    </row>
    <row r="8" spans="1:13" x14ac:dyDescent="0.25">
      <c r="A8" s="3" t="s">
        <v>11</v>
      </c>
      <c r="B8" s="1">
        <v>10</v>
      </c>
      <c r="C8" s="1" t="s">
        <v>10</v>
      </c>
      <c r="D8" s="4">
        <v>0.04</v>
      </c>
      <c r="E8" s="4">
        <f>B8*D8</f>
        <v>0.4</v>
      </c>
      <c r="I8" s="3" t="s">
        <v>11</v>
      </c>
      <c r="J8" s="1">
        <v>10</v>
      </c>
      <c r="K8" s="1" t="s">
        <v>10</v>
      </c>
      <c r="L8" s="4">
        <v>0.04</v>
      </c>
      <c r="M8" s="4">
        <f>J8*L8</f>
        <v>0.4</v>
      </c>
    </row>
    <row r="9" spans="1:13" x14ac:dyDescent="0.25">
      <c r="A9" s="3" t="s">
        <v>18</v>
      </c>
      <c r="B9" s="1">
        <v>1</v>
      </c>
      <c r="C9" s="1" t="s">
        <v>4</v>
      </c>
      <c r="D9" s="7">
        <v>0.69</v>
      </c>
      <c r="E9" s="4">
        <f>B9*D9</f>
        <v>0.69</v>
      </c>
      <c r="I9" s="3" t="s">
        <v>18</v>
      </c>
      <c r="J9" s="1">
        <v>1</v>
      </c>
      <c r="K9" s="1" t="s">
        <v>4</v>
      </c>
      <c r="L9" s="7">
        <v>0.69</v>
      </c>
      <c r="M9" s="4">
        <f>J9*L9</f>
        <v>0.69</v>
      </c>
    </row>
    <row r="10" spans="1:13" x14ac:dyDescent="0.25">
      <c r="A10" s="3" t="s">
        <v>85</v>
      </c>
      <c r="B10" s="1">
        <v>1</v>
      </c>
      <c r="C10" s="1" t="s">
        <v>86</v>
      </c>
      <c r="D10" s="4">
        <v>0.36</v>
      </c>
      <c r="E10" s="4">
        <f>B10*D10</f>
        <v>0.36</v>
      </c>
      <c r="I10" s="3" t="s">
        <v>85</v>
      </c>
      <c r="J10" s="1">
        <v>1</v>
      </c>
      <c r="K10" s="1" t="s">
        <v>86</v>
      </c>
      <c r="L10" s="4">
        <v>0.38</v>
      </c>
      <c r="M10" s="4">
        <f>J10*L10</f>
        <v>0.38</v>
      </c>
    </row>
    <row r="11" spans="1:13" ht="18.75" x14ac:dyDescent="0.25">
      <c r="A11" s="46" t="s">
        <v>12</v>
      </c>
      <c r="B11" s="47"/>
      <c r="C11" s="47"/>
      <c r="D11" s="48"/>
      <c r="E11" s="11">
        <f>SUM(E4:E10)</f>
        <v>17.27</v>
      </c>
      <c r="I11" s="46" t="s">
        <v>12</v>
      </c>
      <c r="J11" s="47"/>
      <c r="K11" s="47"/>
      <c r="L11" s="48"/>
      <c r="M11" s="11">
        <f>SUM(M4:M10)</f>
        <v>22.164999999999999</v>
      </c>
    </row>
    <row r="12" spans="1:13" ht="18.75" x14ac:dyDescent="0.25">
      <c r="A12" s="10"/>
      <c r="B12" s="10"/>
      <c r="C12" s="10"/>
      <c r="D12" s="11"/>
      <c r="E12" s="11"/>
      <c r="I12" s="10"/>
      <c r="J12" s="10"/>
      <c r="K12" s="10"/>
      <c r="L12" s="11"/>
      <c r="M12" s="11"/>
    </row>
    <row r="13" spans="1:13" x14ac:dyDescent="0.25">
      <c r="A13" s="3"/>
      <c r="B13" s="3"/>
      <c r="C13" s="1"/>
      <c r="D13" s="4"/>
      <c r="E13" s="4"/>
      <c r="I13" s="3"/>
      <c r="J13" s="3"/>
      <c r="K13" s="1"/>
      <c r="L13" s="4"/>
      <c r="M13" s="4"/>
    </row>
    <row r="14" spans="1:13" x14ac:dyDescent="0.25">
      <c r="A14" s="3" t="s">
        <v>40</v>
      </c>
      <c r="B14" s="3">
        <v>1</v>
      </c>
      <c r="C14" s="1" t="s">
        <v>13</v>
      </c>
      <c r="D14" s="4">
        <v>17</v>
      </c>
      <c r="E14" s="4">
        <v>17</v>
      </c>
      <c r="I14" s="3" t="s">
        <v>40</v>
      </c>
      <c r="J14" s="3">
        <v>1</v>
      </c>
      <c r="K14" s="1" t="s">
        <v>13</v>
      </c>
      <c r="L14" s="4">
        <v>15</v>
      </c>
      <c r="M14" s="4">
        <v>15</v>
      </c>
    </row>
    <row r="15" spans="1:13" x14ac:dyDescent="0.25">
      <c r="A15" s="3"/>
      <c r="B15" s="3"/>
      <c r="C15" s="1"/>
      <c r="D15" s="4"/>
      <c r="E15" s="4"/>
      <c r="I15" s="3"/>
      <c r="J15" s="3"/>
      <c r="K15" s="1"/>
      <c r="L15" s="4"/>
      <c r="M15" s="4"/>
    </row>
    <row r="16" spans="1:13" ht="18.75" x14ac:dyDescent="0.25">
      <c r="A16" s="46" t="s">
        <v>15</v>
      </c>
      <c r="B16" s="47"/>
      <c r="C16" s="47"/>
      <c r="D16" s="48"/>
      <c r="E16" s="11">
        <f>SUM(E13:E15)</f>
        <v>17</v>
      </c>
      <c r="I16" s="46" t="s">
        <v>15</v>
      </c>
      <c r="J16" s="47"/>
      <c r="K16" s="47"/>
      <c r="L16" s="48"/>
      <c r="M16" s="11">
        <f>SUM(M13:M15)</f>
        <v>15</v>
      </c>
    </row>
    <row r="17" spans="1:13" ht="15.75" x14ac:dyDescent="0.25">
      <c r="A17" s="49" t="s">
        <v>41</v>
      </c>
      <c r="B17" s="50"/>
      <c r="C17" s="50"/>
      <c r="D17" s="51"/>
      <c r="E17" s="13">
        <f>SUM(E16,E11)*61%</f>
        <v>20.904699999999998</v>
      </c>
      <c r="I17" s="49" t="s">
        <v>41</v>
      </c>
      <c r="J17" s="50"/>
      <c r="K17" s="50"/>
      <c r="L17" s="51"/>
      <c r="M17" s="13">
        <f>SUM(M16,M11)*61%</f>
        <v>22.670649999999998</v>
      </c>
    </row>
    <row r="18" spans="1:13" ht="18.75" x14ac:dyDescent="0.25">
      <c r="A18" s="46" t="s">
        <v>14</v>
      </c>
      <c r="B18" s="47"/>
      <c r="C18" s="47"/>
      <c r="D18" s="48"/>
      <c r="E18" s="11">
        <f>SUM(E17,E16,E11)</f>
        <v>55.174700000000001</v>
      </c>
      <c r="I18" s="46" t="s">
        <v>14</v>
      </c>
      <c r="J18" s="47"/>
      <c r="K18" s="47"/>
      <c r="L18" s="48"/>
      <c r="M18" s="11">
        <f>SUM(M17,M16,M11)</f>
        <v>59.835649999999994</v>
      </c>
    </row>
    <row r="19" spans="1:13" ht="15.75" x14ac:dyDescent="0.25">
      <c r="A19" s="52" t="s">
        <v>16</v>
      </c>
      <c r="B19" s="53"/>
      <c r="C19" s="53"/>
      <c r="D19" s="54"/>
      <c r="E19" s="25">
        <f>(E20-E18)/E18</f>
        <v>1.7186373464649558</v>
      </c>
      <c r="I19" s="52" t="s">
        <v>16</v>
      </c>
      <c r="J19" s="53"/>
      <c r="K19" s="53"/>
      <c r="L19" s="54"/>
      <c r="M19" s="25">
        <f>(M20-M18)/M18</f>
        <v>-1</v>
      </c>
    </row>
    <row r="20" spans="1:13" ht="18.75" x14ac:dyDescent="0.25">
      <c r="A20" s="44" t="s">
        <v>17</v>
      </c>
      <c r="B20" s="44"/>
      <c r="C20" s="44"/>
      <c r="D20" s="44"/>
      <c r="E20" s="11">
        <v>150</v>
      </c>
      <c r="F20" s="24"/>
      <c r="I20" s="44" t="s">
        <v>17</v>
      </c>
      <c r="J20" s="44"/>
      <c r="K20" s="44"/>
      <c r="L20" s="44"/>
      <c r="M20" s="11"/>
    </row>
    <row r="22" spans="1:13" x14ac:dyDescent="0.25">
      <c r="A22" s="27" t="s">
        <v>89</v>
      </c>
      <c r="B22" s="28"/>
      <c r="C22" s="28"/>
      <c r="D22" s="35"/>
    </row>
    <row r="23" spans="1:13" x14ac:dyDescent="0.25">
      <c r="A23" s="33" t="s">
        <v>88</v>
      </c>
      <c r="B23" s="34"/>
    </row>
  </sheetData>
  <sortState xmlns:xlrd2="http://schemas.microsoft.com/office/spreadsheetml/2017/richdata2" ref="A6:E10">
    <sortCondition ref="A5"/>
  </sortState>
  <mergeCells count="14">
    <mergeCell ref="A20:D20"/>
    <mergeCell ref="A1:E2"/>
    <mergeCell ref="A11:D11"/>
    <mergeCell ref="A16:D16"/>
    <mergeCell ref="A17:D17"/>
    <mergeCell ref="A18:D18"/>
    <mergeCell ref="A19:D19"/>
    <mergeCell ref="I19:L19"/>
    <mergeCell ref="I20:L20"/>
    <mergeCell ref="I1:M2"/>
    <mergeCell ref="I11:L11"/>
    <mergeCell ref="I16:L16"/>
    <mergeCell ref="I17:L17"/>
    <mergeCell ref="I18:L18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2"/>
  <sheetViews>
    <sheetView workbookViewId="0">
      <selection activeCell="F20" sqref="F20"/>
    </sheetView>
  </sheetViews>
  <sheetFormatPr defaultRowHeight="15" x14ac:dyDescent="0.25"/>
  <cols>
    <col min="1" max="1" width="24.85546875" bestFit="1" customWidth="1"/>
    <col min="2" max="2" width="11.42578125" bestFit="1" customWidth="1"/>
    <col min="3" max="3" width="8.5703125" bestFit="1" customWidth="1"/>
    <col min="4" max="4" width="13.85546875" bestFit="1" customWidth="1"/>
    <col min="5" max="5" width="14.5703125" bestFit="1" customWidth="1"/>
  </cols>
  <sheetData>
    <row r="1" spans="1:5" x14ac:dyDescent="0.25">
      <c r="A1" s="45" t="s">
        <v>25</v>
      </c>
      <c r="B1" s="45"/>
      <c r="C1" s="45"/>
      <c r="D1" s="45"/>
      <c r="E1" s="45"/>
    </row>
    <row r="2" spans="1:5" x14ac:dyDescent="0.25">
      <c r="A2" s="45"/>
      <c r="B2" s="45"/>
      <c r="C2" s="45"/>
      <c r="D2" s="45"/>
      <c r="E2" s="45"/>
    </row>
    <row r="3" spans="1:5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</row>
    <row r="4" spans="1:5" x14ac:dyDescent="0.25">
      <c r="A4" s="31" t="s">
        <v>8</v>
      </c>
      <c r="B4" s="6">
        <v>2</v>
      </c>
      <c r="C4" s="6" t="s">
        <v>10</v>
      </c>
      <c r="D4" s="7">
        <v>14.26</v>
      </c>
      <c r="E4" s="7">
        <f t="shared" ref="E4:E10" si="0">B4*D4</f>
        <v>28.52</v>
      </c>
    </row>
    <row r="5" spans="1:5" x14ac:dyDescent="0.25">
      <c r="A5" s="31" t="s">
        <v>26</v>
      </c>
      <c r="B5" s="6">
        <v>12</v>
      </c>
      <c r="C5" s="6" t="s">
        <v>4</v>
      </c>
      <c r="D5" s="7">
        <v>0.64</v>
      </c>
      <c r="E5" s="7">
        <f t="shared" si="0"/>
        <v>7.68</v>
      </c>
    </row>
    <row r="6" spans="1:5" x14ac:dyDescent="0.25">
      <c r="A6" s="3" t="s">
        <v>43</v>
      </c>
      <c r="B6" s="1">
        <v>1</v>
      </c>
      <c r="C6" s="1" t="s">
        <v>4</v>
      </c>
      <c r="D6" s="4">
        <v>4.75</v>
      </c>
      <c r="E6" s="4">
        <f t="shared" si="0"/>
        <v>4.75</v>
      </c>
    </row>
    <row r="7" spans="1:5" x14ac:dyDescent="0.25">
      <c r="A7" s="3" t="s">
        <v>84</v>
      </c>
      <c r="B7" s="1">
        <v>1</v>
      </c>
      <c r="C7" s="1" t="s">
        <v>4</v>
      </c>
      <c r="D7" s="4">
        <v>0.27</v>
      </c>
      <c r="E7" s="4">
        <f t="shared" si="0"/>
        <v>0.27</v>
      </c>
    </row>
    <row r="8" spans="1:5" x14ac:dyDescent="0.25">
      <c r="A8" s="5" t="s">
        <v>11</v>
      </c>
      <c r="B8" s="6">
        <v>10</v>
      </c>
      <c r="C8" s="6" t="s">
        <v>10</v>
      </c>
      <c r="D8" s="7">
        <v>0.04</v>
      </c>
      <c r="E8" s="7">
        <f t="shared" si="0"/>
        <v>0.4</v>
      </c>
    </row>
    <row r="9" spans="1:5" x14ac:dyDescent="0.25">
      <c r="A9" s="5" t="s">
        <v>18</v>
      </c>
      <c r="B9" s="6">
        <v>1</v>
      </c>
      <c r="C9" s="6" t="s">
        <v>4</v>
      </c>
      <c r="D9" s="7">
        <v>0.69</v>
      </c>
      <c r="E9" s="7">
        <f t="shared" si="0"/>
        <v>0.69</v>
      </c>
    </row>
    <row r="10" spans="1:5" x14ac:dyDescent="0.25">
      <c r="A10" s="3" t="s">
        <v>85</v>
      </c>
      <c r="B10" s="1">
        <v>1</v>
      </c>
      <c r="C10" s="1" t="s">
        <v>86</v>
      </c>
      <c r="D10" s="4">
        <v>0.36</v>
      </c>
      <c r="E10" s="4">
        <f t="shared" si="0"/>
        <v>0.36</v>
      </c>
    </row>
    <row r="11" spans="1:5" ht="30" customHeight="1" x14ac:dyDescent="0.25">
      <c r="A11" s="46" t="s">
        <v>12</v>
      </c>
      <c r="B11" s="47"/>
      <c r="C11" s="47"/>
      <c r="D11" s="48"/>
      <c r="E11" s="11">
        <f>SUM(E4:E10)</f>
        <v>42.67</v>
      </c>
    </row>
    <row r="12" spans="1:5" ht="13.5" customHeight="1" x14ac:dyDescent="0.25">
      <c r="A12" s="19"/>
      <c r="B12" s="20"/>
      <c r="C12" s="20"/>
      <c r="D12" s="21"/>
      <c r="E12" s="11"/>
    </row>
    <row r="13" spans="1:5" x14ac:dyDescent="0.25">
      <c r="A13" s="3"/>
      <c r="B13" s="3"/>
      <c r="C13" s="1"/>
      <c r="D13" s="4"/>
      <c r="E13" s="4">
        <f>B13*D13</f>
        <v>0</v>
      </c>
    </row>
    <row r="14" spans="1:5" x14ac:dyDescent="0.25">
      <c r="A14" s="3" t="s">
        <v>40</v>
      </c>
      <c r="B14" s="3">
        <v>1</v>
      </c>
      <c r="C14" s="1" t="s">
        <v>13</v>
      </c>
      <c r="D14" s="4">
        <v>17</v>
      </c>
      <c r="E14" s="4">
        <v>17</v>
      </c>
    </row>
    <row r="15" spans="1:5" x14ac:dyDescent="0.25">
      <c r="A15" s="3"/>
      <c r="B15" s="3"/>
      <c r="C15" s="1"/>
      <c r="D15" s="4"/>
      <c r="E15" s="4">
        <f t="shared" ref="E15" si="1">B15*D15</f>
        <v>0</v>
      </c>
    </row>
    <row r="16" spans="1:5" ht="30" customHeight="1" x14ac:dyDescent="0.25">
      <c r="A16" s="44" t="s">
        <v>15</v>
      </c>
      <c r="B16" s="44"/>
      <c r="C16" s="44"/>
      <c r="D16" s="44"/>
      <c r="E16" s="11">
        <f>SUM(E13:E15)</f>
        <v>17</v>
      </c>
    </row>
    <row r="17" spans="1:6" ht="15.75" x14ac:dyDescent="0.25">
      <c r="A17" s="49" t="s">
        <v>41</v>
      </c>
      <c r="B17" s="50"/>
      <c r="C17" s="50"/>
      <c r="D17" s="51"/>
      <c r="E17" s="13">
        <f>SUM(E16,E11)*61%</f>
        <v>36.398699999999998</v>
      </c>
    </row>
    <row r="18" spans="1:6" ht="30" customHeight="1" x14ac:dyDescent="0.25">
      <c r="A18" s="44" t="s">
        <v>14</v>
      </c>
      <c r="B18" s="44"/>
      <c r="C18" s="44"/>
      <c r="D18" s="44"/>
      <c r="E18" s="11">
        <f>SUM(E17,E16,E11)</f>
        <v>96.068700000000007</v>
      </c>
    </row>
    <row r="19" spans="1:6" ht="15.75" x14ac:dyDescent="0.25">
      <c r="A19" s="55" t="s">
        <v>16</v>
      </c>
      <c r="B19" s="55"/>
      <c r="C19" s="55"/>
      <c r="D19" s="55"/>
      <c r="E19" s="12">
        <f>(E20-E18)/E18</f>
        <v>2.9555026767302977</v>
      </c>
    </row>
    <row r="20" spans="1:6" ht="30" customHeight="1" x14ac:dyDescent="0.25">
      <c r="A20" s="44" t="s">
        <v>17</v>
      </c>
      <c r="B20" s="44"/>
      <c r="C20" s="44"/>
      <c r="D20" s="44"/>
      <c r="E20" s="11">
        <v>380</v>
      </c>
      <c r="F20" s="24"/>
    </row>
    <row r="22" spans="1:6" x14ac:dyDescent="0.25">
      <c r="A22" s="3" t="s">
        <v>88</v>
      </c>
      <c r="B22" s="31"/>
    </row>
  </sheetData>
  <sortState xmlns:xlrd2="http://schemas.microsoft.com/office/spreadsheetml/2017/richdata2" ref="A6:E11">
    <sortCondition ref="A6"/>
  </sortState>
  <mergeCells count="7">
    <mergeCell ref="A18:D18"/>
    <mergeCell ref="A19:D19"/>
    <mergeCell ref="A20:D20"/>
    <mergeCell ref="A1:E2"/>
    <mergeCell ref="A16:D16"/>
    <mergeCell ref="A17:D17"/>
    <mergeCell ref="A11:D1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3"/>
  <sheetViews>
    <sheetView workbookViewId="0">
      <selection activeCell="F14" sqref="F14"/>
    </sheetView>
  </sheetViews>
  <sheetFormatPr defaultRowHeight="15" x14ac:dyDescent="0.25"/>
  <cols>
    <col min="1" max="1" width="24.85546875" bestFit="1" customWidth="1"/>
    <col min="2" max="2" width="11.42578125" bestFit="1" customWidth="1"/>
    <col min="3" max="3" width="8.5703125" bestFit="1" customWidth="1"/>
    <col min="4" max="4" width="13.85546875" bestFit="1" customWidth="1"/>
    <col min="5" max="5" width="18.140625" bestFit="1" customWidth="1"/>
  </cols>
  <sheetData>
    <row r="1" spans="1:5" x14ac:dyDescent="0.25">
      <c r="A1" s="45" t="s">
        <v>68</v>
      </c>
      <c r="B1" s="45"/>
      <c r="C1" s="45"/>
      <c r="D1" s="45"/>
      <c r="E1" s="45"/>
    </row>
    <row r="2" spans="1:5" x14ac:dyDescent="0.25">
      <c r="A2" s="45"/>
      <c r="B2" s="45"/>
      <c r="C2" s="45"/>
      <c r="D2" s="45"/>
      <c r="E2" s="45"/>
    </row>
    <row r="3" spans="1:5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</row>
    <row r="4" spans="1:5" x14ac:dyDescent="0.25">
      <c r="A4" s="31" t="s">
        <v>37</v>
      </c>
      <c r="B4" s="1">
        <v>2</v>
      </c>
      <c r="C4" s="1" t="s">
        <v>10</v>
      </c>
      <c r="D4" s="4">
        <v>10.16</v>
      </c>
      <c r="E4" s="4">
        <f>B4*D4</f>
        <v>20.32</v>
      </c>
    </row>
    <row r="5" spans="1:5" x14ac:dyDescent="0.25">
      <c r="A5" s="5" t="s">
        <v>51</v>
      </c>
      <c r="B5" s="6">
        <v>6</v>
      </c>
      <c r="C5" s="6" t="s">
        <v>4</v>
      </c>
      <c r="D5" s="7">
        <v>0.16</v>
      </c>
      <c r="E5" s="7">
        <f t="shared" ref="E5" si="0">B5*D5</f>
        <v>0.96</v>
      </c>
    </row>
    <row r="6" spans="1:5" x14ac:dyDescent="0.25">
      <c r="A6" s="3" t="s">
        <v>43</v>
      </c>
      <c r="B6" s="1">
        <v>1</v>
      </c>
      <c r="C6" s="1" t="s">
        <v>4</v>
      </c>
      <c r="D6" s="4">
        <v>4.75</v>
      </c>
      <c r="E6" s="4">
        <f>B6*D6</f>
        <v>4.75</v>
      </c>
    </row>
    <row r="7" spans="1:5" x14ac:dyDescent="0.25">
      <c r="A7" s="3" t="s">
        <v>84</v>
      </c>
      <c r="B7" s="1">
        <v>1</v>
      </c>
      <c r="C7" s="1" t="s">
        <v>4</v>
      </c>
      <c r="D7" s="4">
        <v>0.27</v>
      </c>
      <c r="E7" s="4">
        <f>B7*D7</f>
        <v>0.27</v>
      </c>
    </row>
    <row r="8" spans="1:5" x14ac:dyDescent="0.25">
      <c r="A8" s="3" t="s">
        <v>11</v>
      </c>
      <c r="B8" s="1">
        <v>10</v>
      </c>
      <c r="C8" s="1" t="s">
        <v>10</v>
      </c>
      <c r="D8" s="4">
        <v>0.04</v>
      </c>
      <c r="E8" s="4">
        <f>B8*D8</f>
        <v>0.4</v>
      </c>
    </row>
    <row r="9" spans="1:5" x14ac:dyDescent="0.25">
      <c r="A9" s="3" t="s">
        <v>18</v>
      </c>
      <c r="B9" s="1">
        <v>1</v>
      </c>
      <c r="C9" s="1" t="s">
        <v>4</v>
      </c>
      <c r="D9" s="7">
        <v>0.69</v>
      </c>
      <c r="E9" s="4">
        <f>B9*D9</f>
        <v>0.69</v>
      </c>
    </row>
    <row r="10" spans="1:5" x14ac:dyDescent="0.25">
      <c r="A10" s="3" t="s">
        <v>85</v>
      </c>
      <c r="B10" s="1">
        <v>1</v>
      </c>
      <c r="C10" s="1" t="s">
        <v>86</v>
      </c>
      <c r="D10" s="4">
        <v>0.36</v>
      </c>
      <c r="E10" s="4">
        <f>B10*D10</f>
        <v>0.36</v>
      </c>
    </row>
    <row r="11" spans="1:5" ht="18.75" x14ac:dyDescent="0.25">
      <c r="A11" s="46" t="s">
        <v>12</v>
      </c>
      <c r="B11" s="47"/>
      <c r="C11" s="47"/>
      <c r="D11" s="48"/>
      <c r="E11" s="11">
        <f>SUM(E4:E10)</f>
        <v>27.75</v>
      </c>
    </row>
    <row r="12" spans="1:5" ht="18.75" x14ac:dyDescent="0.25">
      <c r="A12" s="10"/>
      <c r="B12" s="10"/>
      <c r="C12" s="10"/>
      <c r="D12" s="11"/>
      <c r="E12" s="11"/>
    </row>
    <row r="13" spans="1:5" x14ac:dyDescent="0.25">
      <c r="A13" s="3"/>
      <c r="B13" s="3"/>
      <c r="C13" s="1"/>
      <c r="D13" s="4"/>
      <c r="E13" s="4"/>
    </row>
    <row r="14" spans="1:5" x14ac:dyDescent="0.25">
      <c r="A14" s="3" t="s">
        <v>40</v>
      </c>
      <c r="B14" s="3">
        <v>1</v>
      </c>
      <c r="C14" s="1" t="s">
        <v>13</v>
      </c>
      <c r="D14" s="4">
        <v>17</v>
      </c>
      <c r="E14" s="4">
        <v>17</v>
      </c>
    </row>
    <row r="15" spans="1:5" x14ac:dyDescent="0.25">
      <c r="A15" s="3"/>
      <c r="B15" s="3"/>
      <c r="C15" s="1"/>
      <c r="D15" s="4"/>
      <c r="E15" s="4"/>
    </row>
    <row r="16" spans="1:5" ht="18.75" x14ac:dyDescent="0.25">
      <c r="A16" s="46" t="s">
        <v>15</v>
      </c>
      <c r="B16" s="47"/>
      <c r="C16" s="47"/>
      <c r="D16" s="48"/>
      <c r="E16" s="11">
        <f>SUM(E13:E15)</f>
        <v>17</v>
      </c>
    </row>
    <row r="17" spans="1:6" ht="15.75" x14ac:dyDescent="0.25">
      <c r="A17" s="49" t="s">
        <v>41</v>
      </c>
      <c r="B17" s="50"/>
      <c r="C17" s="50"/>
      <c r="D17" s="51"/>
      <c r="E17" s="13">
        <f>SUM(E16,E11)*61%</f>
        <v>27.297499999999999</v>
      </c>
    </row>
    <row r="18" spans="1:6" ht="18.75" x14ac:dyDescent="0.25">
      <c r="A18" s="46" t="s">
        <v>14</v>
      </c>
      <c r="B18" s="47"/>
      <c r="C18" s="47"/>
      <c r="D18" s="48"/>
      <c r="E18" s="11">
        <f>SUM(E17,E16,E11)</f>
        <v>72.047499999999999</v>
      </c>
    </row>
    <row r="19" spans="1:6" ht="15.75" x14ac:dyDescent="0.25">
      <c r="A19" s="52" t="s">
        <v>16</v>
      </c>
      <c r="B19" s="53"/>
      <c r="C19" s="53"/>
      <c r="D19" s="54"/>
      <c r="E19" s="25">
        <f>(E20-E18)/E18</f>
        <v>1.7759464242340124</v>
      </c>
    </row>
    <row r="20" spans="1:6" ht="18.75" x14ac:dyDescent="0.25">
      <c r="A20" s="44" t="s">
        <v>17</v>
      </c>
      <c r="B20" s="44"/>
      <c r="C20" s="44"/>
      <c r="D20" s="44"/>
      <c r="E20" s="11">
        <v>200</v>
      </c>
      <c r="F20" s="24"/>
    </row>
    <row r="22" spans="1:6" x14ac:dyDescent="0.25">
      <c r="A22" s="27" t="s">
        <v>89</v>
      </c>
      <c r="B22" s="28"/>
      <c r="C22" s="28"/>
      <c r="D22" s="35"/>
    </row>
    <row r="23" spans="1:6" x14ac:dyDescent="0.25">
      <c r="A23" s="33" t="s">
        <v>88</v>
      </c>
      <c r="B23" s="34"/>
    </row>
  </sheetData>
  <sortState xmlns:xlrd2="http://schemas.microsoft.com/office/spreadsheetml/2017/richdata2" ref="A6:E10">
    <sortCondition ref="A5"/>
  </sortState>
  <mergeCells count="7">
    <mergeCell ref="A20:D20"/>
    <mergeCell ref="A1:E2"/>
    <mergeCell ref="A11:D11"/>
    <mergeCell ref="A16:D16"/>
    <mergeCell ref="A17:D17"/>
    <mergeCell ref="A18:D18"/>
    <mergeCell ref="A19:D19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3"/>
  <sheetViews>
    <sheetView workbookViewId="0">
      <selection activeCell="L25" sqref="L25"/>
    </sheetView>
  </sheetViews>
  <sheetFormatPr defaultColWidth="9.140625" defaultRowHeight="15" x14ac:dyDescent="0.25"/>
  <cols>
    <col min="1" max="1" width="24.85546875" bestFit="1" customWidth="1"/>
    <col min="2" max="2" width="11.42578125" bestFit="1" customWidth="1"/>
    <col min="3" max="3" width="8.5703125" bestFit="1" customWidth="1"/>
    <col min="4" max="4" width="13.85546875" bestFit="1" customWidth="1"/>
    <col min="5" max="5" width="18.140625" bestFit="1" customWidth="1"/>
    <col min="6" max="16384" width="9.140625" style="22"/>
  </cols>
  <sheetData>
    <row r="1" spans="1:5" x14ac:dyDescent="0.25">
      <c r="A1" s="45" t="s">
        <v>50</v>
      </c>
      <c r="B1" s="45"/>
      <c r="C1" s="45"/>
      <c r="D1" s="45"/>
      <c r="E1" s="45"/>
    </row>
    <row r="2" spans="1:5" x14ac:dyDescent="0.25">
      <c r="A2" s="45"/>
      <c r="B2" s="45"/>
      <c r="C2" s="45"/>
      <c r="D2" s="45"/>
      <c r="E2" s="45"/>
    </row>
    <row r="3" spans="1:5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</row>
    <row r="4" spans="1:5" x14ac:dyDescent="0.25">
      <c r="A4" s="31" t="s">
        <v>37</v>
      </c>
      <c r="B4" s="1">
        <v>2</v>
      </c>
      <c r="C4" s="1" t="s">
        <v>10</v>
      </c>
      <c r="D4" s="4">
        <v>10.16</v>
      </c>
      <c r="E4" s="4">
        <f>B4*D4</f>
        <v>20.32</v>
      </c>
    </row>
    <row r="5" spans="1:5" x14ac:dyDescent="0.25">
      <c r="A5" s="5" t="s">
        <v>51</v>
      </c>
      <c r="B5" s="6">
        <v>5</v>
      </c>
      <c r="C5" s="6" t="s">
        <v>4</v>
      </c>
      <c r="D5" s="7">
        <v>0.16</v>
      </c>
      <c r="E5" s="7">
        <f t="shared" ref="E5" si="0">B5*D5</f>
        <v>0.8</v>
      </c>
    </row>
    <row r="6" spans="1:5" x14ac:dyDescent="0.25">
      <c r="A6" s="3" t="s">
        <v>43</v>
      </c>
      <c r="B6" s="1">
        <v>1</v>
      </c>
      <c r="C6" s="1" t="s">
        <v>4</v>
      </c>
      <c r="D6" s="4">
        <v>4.75</v>
      </c>
      <c r="E6" s="4">
        <f>B6*D6</f>
        <v>4.75</v>
      </c>
    </row>
    <row r="7" spans="1:5" x14ac:dyDescent="0.25">
      <c r="A7" s="3" t="s">
        <v>84</v>
      </c>
      <c r="B7" s="1">
        <v>1</v>
      </c>
      <c r="C7" s="1" t="s">
        <v>4</v>
      </c>
      <c r="D7" s="4">
        <v>0.27</v>
      </c>
      <c r="E7" s="4">
        <f>B7*D7</f>
        <v>0.27</v>
      </c>
    </row>
    <row r="8" spans="1:5" x14ac:dyDescent="0.25">
      <c r="A8" s="3" t="s">
        <v>11</v>
      </c>
      <c r="B8" s="1">
        <v>10</v>
      </c>
      <c r="C8" s="1" t="s">
        <v>10</v>
      </c>
      <c r="D8" s="4">
        <v>0.04</v>
      </c>
      <c r="E8" s="4">
        <f>B8*D8</f>
        <v>0.4</v>
      </c>
    </row>
    <row r="9" spans="1:5" x14ac:dyDescent="0.25">
      <c r="A9" s="3" t="s">
        <v>18</v>
      </c>
      <c r="B9" s="1">
        <v>1</v>
      </c>
      <c r="C9" s="1" t="s">
        <v>4</v>
      </c>
      <c r="D9" s="7">
        <v>0.69</v>
      </c>
      <c r="E9" s="4">
        <f>B9*D9</f>
        <v>0.69</v>
      </c>
    </row>
    <row r="10" spans="1:5" x14ac:dyDescent="0.25">
      <c r="A10" s="3" t="s">
        <v>85</v>
      </c>
      <c r="B10" s="1">
        <v>1</v>
      </c>
      <c r="C10" s="1" t="s">
        <v>86</v>
      </c>
      <c r="D10" s="4">
        <v>0.36</v>
      </c>
      <c r="E10" s="4">
        <f>B10*D10</f>
        <v>0.36</v>
      </c>
    </row>
    <row r="11" spans="1:5" ht="18.75" x14ac:dyDescent="0.25">
      <c r="A11" s="46" t="s">
        <v>12</v>
      </c>
      <c r="B11" s="47"/>
      <c r="C11" s="47"/>
      <c r="D11" s="48"/>
      <c r="E11" s="11">
        <f>SUM(E4:E10)</f>
        <v>27.59</v>
      </c>
    </row>
    <row r="12" spans="1:5" ht="18.75" x14ac:dyDescent="0.25">
      <c r="A12" s="10"/>
      <c r="B12" s="10"/>
      <c r="C12" s="10"/>
      <c r="D12" s="11"/>
      <c r="E12" s="11"/>
    </row>
    <row r="13" spans="1:5" x14ac:dyDescent="0.25">
      <c r="A13" s="3"/>
      <c r="B13" s="3"/>
      <c r="C13" s="1"/>
      <c r="D13" s="4"/>
      <c r="E13" s="4"/>
    </row>
    <row r="14" spans="1:5" x14ac:dyDescent="0.25">
      <c r="A14" s="3" t="s">
        <v>40</v>
      </c>
      <c r="B14" s="3">
        <v>1</v>
      </c>
      <c r="C14" s="1" t="s">
        <v>13</v>
      </c>
      <c r="D14" s="4">
        <v>17</v>
      </c>
      <c r="E14" s="4">
        <v>17</v>
      </c>
    </row>
    <row r="15" spans="1:5" x14ac:dyDescent="0.25">
      <c r="A15" s="3"/>
      <c r="B15" s="3"/>
      <c r="C15" s="1"/>
      <c r="D15" s="4"/>
      <c r="E15" s="4"/>
    </row>
    <row r="16" spans="1:5" ht="18.75" x14ac:dyDescent="0.25">
      <c r="A16" s="46" t="s">
        <v>15</v>
      </c>
      <c r="B16" s="47"/>
      <c r="C16" s="47"/>
      <c r="D16" s="48"/>
      <c r="E16" s="11">
        <f>SUM(E13:E15)</f>
        <v>17</v>
      </c>
    </row>
    <row r="17" spans="1:6" ht="15.75" x14ac:dyDescent="0.25">
      <c r="A17" s="49" t="s">
        <v>41</v>
      </c>
      <c r="B17" s="50"/>
      <c r="C17" s="50"/>
      <c r="D17" s="51"/>
      <c r="E17" s="13">
        <f>SUM(E16,E11)*61%</f>
        <v>27.199900000000003</v>
      </c>
    </row>
    <row r="18" spans="1:6" ht="18.75" x14ac:dyDescent="0.25">
      <c r="A18" s="46" t="s">
        <v>14</v>
      </c>
      <c r="B18" s="47"/>
      <c r="C18" s="47"/>
      <c r="D18" s="48"/>
      <c r="E18" s="11">
        <f>SUM(E17,E16,E11)</f>
        <v>71.789900000000003</v>
      </c>
    </row>
    <row r="19" spans="1:6" ht="15.75" x14ac:dyDescent="0.25">
      <c r="A19" s="52" t="s">
        <v>16</v>
      </c>
      <c r="B19" s="53"/>
      <c r="C19" s="53"/>
      <c r="D19" s="54"/>
      <c r="E19" s="25">
        <f>(E20-E18)/E18</f>
        <v>1.7859072097885638</v>
      </c>
    </row>
    <row r="20" spans="1:6" ht="18.75" x14ac:dyDescent="0.25">
      <c r="A20" s="44" t="s">
        <v>17</v>
      </c>
      <c r="B20" s="44"/>
      <c r="C20" s="44"/>
      <c r="D20" s="44"/>
      <c r="E20" s="11">
        <v>200</v>
      </c>
      <c r="F20" s="40"/>
    </row>
    <row r="22" spans="1:6" x14ac:dyDescent="0.25">
      <c r="A22" s="27" t="s">
        <v>89</v>
      </c>
      <c r="B22" s="28"/>
      <c r="C22" s="28"/>
      <c r="D22" s="35"/>
    </row>
    <row r="23" spans="1:6" x14ac:dyDescent="0.25">
      <c r="A23" s="33" t="s">
        <v>88</v>
      </c>
      <c r="B23" s="34"/>
    </row>
  </sheetData>
  <sortState xmlns:xlrd2="http://schemas.microsoft.com/office/spreadsheetml/2017/richdata2" ref="A6:E10">
    <sortCondition ref="A5"/>
  </sortState>
  <mergeCells count="7">
    <mergeCell ref="A19:D19"/>
    <mergeCell ref="A20:D20"/>
    <mergeCell ref="A1:E2"/>
    <mergeCell ref="A11:D11"/>
    <mergeCell ref="A16:D16"/>
    <mergeCell ref="A17:D17"/>
    <mergeCell ref="A18:D18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B4BE7-1F89-43BF-AC1B-674DAF7A188A}">
  <dimension ref="A1:F23"/>
  <sheetViews>
    <sheetView workbookViewId="0">
      <selection activeCell="F20" sqref="F20"/>
    </sheetView>
  </sheetViews>
  <sheetFormatPr defaultColWidth="9.140625" defaultRowHeight="15" x14ac:dyDescent="0.25"/>
  <cols>
    <col min="1" max="1" width="24.85546875" bestFit="1" customWidth="1"/>
    <col min="2" max="2" width="11.42578125" bestFit="1" customWidth="1"/>
    <col min="3" max="3" width="8.5703125" bestFit="1" customWidth="1"/>
    <col min="4" max="4" width="13.85546875" bestFit="1" customWidth="1"/>
    <col min="5" max="5" width="18.140625" bestFit="1" customWidth="1"/>
    <col min="6" max="16384" width="9.140625" style="22"/>
  </cols>
  <sheetData>
    <row r="1" spans="1:5" x14ac:dyDescent="0.25">
      <c r="A1" s="45" t="s">
        <v>162</v>
      </c>
      <c r="B1" s="45"/>
      <c r="C1" s="45"/>
      <c r="D1" s="45"/>
      <c r="E1" s="45"/>
    </row>
    <row r="2" spans="1:5" x14ac:dyDescent="0.25">
      <c r="A2" s="45"/>
      <c r="B2" s="45"/>
      <c r="C2" s="45"/>
      <c r="D2" s="45"/>
      <c r="E2" s="45"/>
    </row>
    <row r="3" spans="1:5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</row>
    <row r="4" spans="1:5" x14ac:dyDescent="0.25">
      <c r="A4" s="31" t="s">
        <v>37</v>
      </c>
      <c r="B4" s="1">
        <v>2</v>
      </c>
      <c r="C4" s="1" t="s">
        <v>10</v>
      </c>
      <c r="D4" s="4">
        <v>10.16</v>
      </c>
      <c r="E4" s="4">
        <f>B4*D4</f>
        <v>20.32</v>
      </c>
    </row>
    <row r="5" spans="1:5" x14ac:dyDescent="0.25">
      <c r="A5" s="5" t="s">
        <v>163</v>
      </c>
      <c r="B5" s="6">
        <v>5</v>
      </c>
      <c r="C5" s="6" t="s">
        <v>4</v>
      </c>
      <c r="D5" s="7">
        <v>0.16</v>
      </c>
      <c r="E5" s="7">
        <f t="shared" ref="E5" si="0">B5*D5</f>
        <v>0.8</v>
      </c>
    </row>
    <row r="6" spans="1:5" x14ac:dyDescent="0.25">
      <c r="A6" s="3" t="s">
        <v>43</v>
      </c>
      <c r="B6" s="1">
        <v>1</v>
      </c>
      <c r="C6" s="1" t="s">
        <v>4</v>
      </c>
      <c r="D6" s="4">
        <v>4.75</v>
      </c>
      <c r="E6" s="4">
        <f>B6*D6</f>
        <v>4.75</v>
      </c>
    </row>
    <row r="7" spans="1:5" x14ac:dyDescent="0.25">
      <c r="A7" s="3" t="s">
        <v>84</v>
      </c>
      <c r="B7" s="1">
        <v>1</v>
      </c>
      <c r="C7" s="1" t="s">
        <v>4</v>
      </c>
      <c r="D7" s="4">
        <v>0.27</v>
      </c>
      <c r="E7" s="4">
        <f>B7*D7</f>
        <v>0.27</v>
      </c>
    </row>
    <row r="8" spans="1:5" x14ac:dyDescent="0.25">
      <c r="A8" s="3" t="s">
        <v>11</v>
      </c>
      <c r="B8" s="1">
        <v>10</v>
      </c>
      <c r="C8" s="1" t="s">
        <v>10</v>
      </c>
      <c r="D8" s="4">
        <v>0.04</v>
      </c>
      <c r="E8" s="4">
        <f>B8*D8</f>
        <v>0.4</v>
      </c>
    </row>
    <row r="9" spans="1:5" x14ac:dyDescent="0.25">
      <c r="A9" s="3" t="s">
        <v>18</v>
      </c>
      <c r="B9" s="1">
        <v>1</v>
      </c>
      <c r="C9" s="1" t="s">
        <v>4</v>
      </c>
      <c r="D9" s="7">
        <v>0.69</v>
      </c>
      <c r="E9" s="4">
        <f>B9*D9</f>
        <v>0.69</v>
      </c>
    </row>
    <row r="10" spans="1:5" x14ac:dyDescent="0.25">
      <c r="A10" s="3" t="s">
        <v>85</v>
      </c>
      <c r="B10" s="1">
        <v>1</v>
      </c>
      <c r="C10" s="1" t="s">
        <v>86</v>
      </c>
      <c r="D10" s="4">
        <v>0.36</v>
      </c>
      <c r="E10" s="4">
        <f>B10*D10</f>
        <v>0.36</v>
      </c>
    </row>
    <row r="11" spans="1:5" ht="18.75" x14ac:dyDescent="0.25">
      <c r="A11" s="46" t="s">
        <v>12</v>
      </c>
      <c r="B11" s="47"/>
      <c r="C11" s="47"/>
      <c r="D11" s="48"/>
      <c r="E11" s="11">
        <f>SUM(E4:E10)</f>
        <v>27.59</v>
      </c>
    </row>
    <row r="12" spans="1:5" ht="18.75" x14ac:dyDescent="0.25">
      <c r="A12" s="10"/>
      <c r="B12" s="10"/>
      <c r="C12" s="10"/>
      <c r="D12" s="11"/>
      <c r="E12" s="11"/>
    </row>
    <row r="13" spans="1:5" x14ac:dyDescent="0.25">
      <c r="A13" s="3"/>
      <c r="B13" s="3"/>
      <c r="C13" s="1"/>
      <c r="D13" s="4"/>
      <c r="E13" s="4"/>
    </row>
    <row r="14" spans="1:5" x14ac:dyDescent="0.25">
      <c r="A14" s="3" t="s">
        <v>40</v>
      </c>
      <c r="B14" s="3">
        <v>1</v>
      </c>
      <c r="C14" s="1" t="s">
        <v>13</v>
      </c>
      <c r="D14" s="4">
        <v>17</v>
      </c>
      <c r="E14" s="4">
        <v>17</v>
      </c>
    </row>
    <row r="15" spans="1:5" x14ac:dyDescent="0.25">
      <c r="A15" s="3"/>
      <c r="B15" s="3"/>
      <c r="C15" s="1"/>
      <c r="D15" s="4"/>
      <c r="E15" s="4"/>
    </row>
    <row r="16" spans="1:5" ht="18.75" x14ac:dyDescent="0.25">
      <c r="A16" s="46" t="s">
        <v>15</v>
      </c>
      <c r="B16" s="47"/>
      <c r="C16" s="47"/>
      <c r="D16" s="48"/>
      <c r="E16" s="11">
        <f>SUM(E13:E15)</f>
        <v>17</v>
      </c>
    </row>
    <row r="17" spans="1:6" ht="15.75" x14ac:dyDescent="0.25">
      <c r="A17" s="49" t="s">
        <v>41</v>
      </c>
      <c r="B17" s="50"/>
      <c r="C17" s="50"/>
      <c r="D17" s="51"/>
      <c r="E17" s="13">
        <f>SUM(E16,E11)*61%</f>
        <v>27.199900000000003</v>
      </c>
    </row>
    <row r="18" spans="1:6" ht="18.75" x14ac:dyDescent="0.25">
      <c r="A18" s="46" t="s">
        <v>14</v>
      </c>
      <c r="B18" s="47"/>
      <c r="C18" s="47"/>
      <c r="D18" s="48"/>
      <c r="E18" s="11">
        <f>SUM(E17,E16,E11)</f>
        <v>71.789900000000003</v>
      </c>
    </row>
    <row r="19" spans="1:6" ht="15.75" x14ac:dyDescent="0.25">
      <c r="A19" s="52" t="s">
        <v>16</v>
      </c>
      <c r="B19" s="53"/>
      <c r="C19" s="53"/>
      <c r="D19" s="54"/>
      <c r="E19" s="25">
        <f>(E20-E18)/E18</f>
        <v>1.507316488809707</v>
      </c>
    </row>
    <row r="20" spans="1:6" ht="18.75" x14ac:dyDescent="0.25">
      <c r="A20" s="44" t="s">
        <v>17</v>
      </c>
      <c r="B20" s="44"/>
      <c r="C20" s="44"/>
      <c r="D20" s="44"/>
      <c r="E20" s="11">
        <v>180</v>
      </c>
      <c r="F20" s="40"/>
    </row>
    <row r="22" spans="1:6" x14ac:dyDescent="0.25">
      <c r="A22" s="27" t="s">
        <v>89</v>
      </c>
      <c r="B22" s="28"/>
      <c r="C22" s="28"/>
      <c r="D22" s="35"/>
    </row>
    <row r="23" spans="1:6" x14ac:dyDescent="0.25">
      <c r="A23" s="33" t="s">
        <v>88</v>
      </c>
      <c r="B23" s="34"/>
    </row>
  </sheetData>
  <mergeCells count="7">
    <mergeCell ref="A20:D20"/>
    <mergeCell ref="A1:E2"/>
    <mergeCell ref="A11:D11"/>
    <mergeCell ref="A16:D16"/>
    <mergeCell ref="A17:D17"/>
    <mergeCell ref="A18:D18"/>
    <mergeCell ref="A19:D1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48"/>
  <sheetViews>
    <sheetView topLeftCell="A7" workbookViewId="0">
      <selection activeCell="A7" sqref="A1:XFD1048576"/>
    </sheetView>
  </sheetViews>
  <sheetFormatPr defaultRowHeight="15" x14ac:dyDescent="0.25"/>
  <cols>
    <col min="1" max="1" width="24.85546875" bestFit="1" customWidth="1"/>
    <col min="2" max="2" width="11.42578125" bestFit="1" customWidth="1"/>
    <col min="3" max="3" width="8.5703125" bestFit="1" customWidth="1"/>
    <col min="4" max="4" width="13.85546875" bestFit="1" customWidth="1"/>
    <col min="5" max="5" width="18.140625" bestFit="1" customWidth="1"/>
    <col min="7" max="7" width="24.85546875" bestFit="1" customWidth="1"/>
    <col min="8" max="8" width="11.42578125" bestFit="1" customWidth="1"/>
    <col min="9" max="9" width="8.5703125" bestFit="1" customWidth="1"/>
    <col min="10" max="10" width="13.85546875" bestFit="1" customWidth="1"/>
    <col min="11" max="11" width="24.5703125" customWidth="1"/>
  </cols>
  <sheetData>
    <row r="1" spans="1:11" x14ac:dyDescent="0.25">
      <c r="A1" s="45" t="s">
        <v>116</v>
      </c>
      <c r="B1" s="45"/>
      <c r="C1" s="45"/>
      <c r="D1" s="45"/>
      <c r="E1" s="45"/>
      <c r="G1" s="45" t="s">
        <v>99</v>
      </c>
      <c r="H1" s="45"/>
      <c r="I1" s="45"/>
      <c r="J1" s="45"/>
      <c r="K1" s="45"/>
    </row>
    <row r="2" spans="1:11" ht="15" customHeight="1" x14ac:dyDescent="0.25">
      <c r="A2" s="45"/>
      <c r="B2" s="45"/>
      <c r="C2" s="45"/>
      <c r="D2" s="45"/>
      <c r="E2" s="45"/>
      <c r="G2" s="45"/>
      <c r="H2" s="45"/>
      <c r="I2" s="45"/>
      <c r="J2" s="45"/>
      <c r="K2" s="45"/>
    </row>
    <row r="3" spans="1:11" ht="16.5" customHeight="1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  <c r="G3" s="2" t="s">
        <v>7</v>
      </c>
      <c r="H3" s="2" t="s">
        <v>3</v>
      </c>
      <c r="I3" s="2" t="s">
        <v>4</v>
      </c>
      <c r="J3" s="2" t="s">
        <v>6</v>
      </c>
      <c r="K3" s="2" t="s">
        <v>5</v>
      </c>
    </row>
    <row r="4" spans="1:11" x14ac:dyDescent="0.25">
      <c r="A4" s="31" t="s">
        <v>37</v>
      </c>
      <c r="B4" s="1">
        <v>2</v>
      </c>
      <c r="C4" s="1" t="s">
        <v>10</v>
      </c>
      <c r="D4" s="4">
        <v>10.16</v>
      </c>
      <c r="E4" s="4">
        <f>B4*D4</f>
        <v>20.32</v>
      </c>
      <c r="G4" s="31" t="s">
        <v>107</v>
      </c>
      <c r="H4" s="1">
        <v>2</v>
      </c>
      <c r="I4" s="1" t="s">
        <v>10</v>
      </c>
      <c r="J4" s="4">
        <v>18.39</v>
      </c>
      <c r="K4" s="4">
        <f>H4*J4</f>
        <v>36.78</v>
      </c>
    </row>
    <row r="5" spans="1:11" ht="16.5" customHeight="1" x14ac:dyDescent="0.25">
      <c r="A5" s="5" t="s">
        <v>51</v>
      </c>
      <c r="B5" s="6">
        <v>6</v>
      </c>
      <c r="C5" s="6" t="s">
        <v>4</v>
      </c>
      <c r="D5" s="7">
        <v>0.16</v>
      </c>
      <c r="E5" s="7">
        <f t="shared" ref="E5" si="0">B5*D5</f>
        <v>0.96</v>
      </c>
      <c r="G5" s="5" t="s">
        <v>51</v>
      </c>
      <c r="H5" s="6">
        <v>6</v>
      </c>
      <c r="I5" s="6" t="s">
        <v>4</v>
      </c>
      <c r="J5" s="7">
        <v>0.16</v>
      </c>
      <c r="K5" s="7">
        <f t="shared" ref="K5" si="1">H5*J5</f>
        <v>0.96</v>
      </c>
    </row>
    <row r="6" spans="1:11" x14ac:dyDescent="0.25">
      <c r="A6" s="3" t="s">
        <v>43</v>
      </c>
      <c r="B6" s="1">
        <v>1</v>
      </c>
      <c r="C6" s="1" t="s">
        <v>4</v>
      </c>
      <c r="D6" s="4">
        <v>4.75</v>
      </c>
      <c r="E6" s="4">
        <f>B6*D6</f>
        <v>4.75</v>
      </c>
      <c r="G6" s="3" t="s">
        <v>43</v>
      </c>
      <c r="H6" s="1">
        <v>1</v>
      </c>
      <c r="I6" s="1" t="s">
        <v>4</v>
      </c>
      <c r="J6" s="4">
        <v>4.75</v>
      </c>
      <c r="K6" s="4">
        <f>H6*J6</f>
        <v>4.75</v>
      </c>
    </row>
    <row r="7" spans="1:11" x14ac:dyDescent="0.25">
      <c r="A7" s="3" t="s">
        <v>84</v>
      </c>
      <c r="B7" s="1">
        <v>1</v>
      </c>
      <c r="C7" s="1" t="s">
        <v>4</v>
      </c>
      <c r="D7" s="4">
        <v>0.27</v>
      </c>
      <c r="E7" s="4">
        <f>B7*D7</f>
        <v>0.27</v>
      </c>
      <c r="G7" s="3" t="s">
        <v>84</v>
      </c>
      <c r="H7" s="1">
        <v>1</v>
      </c>
      <c r="I7" s="1" t="s">
        <v>4</v>
      </c>
      <c r="J7" s="4">
        <v>0.27</v>
      </c>
      <c r="K7" s="4">
        <f>H7*J7</f>
        <v>0.27</v>
      </c>
    </row>
    <row r="8" spans="1:11" x14ac:dyDescent="0.25">
      <c r="A8" s="3" t="s">
        <v>11</v>
      </c>
      <c r="B8" s="1">
        <v>10</v>
      </c>
      <c r="C8" s="1" t="s">
        <v>10</v>
      </c>
      <c r="D8" s="4">
        <v>0.04</v>
      </c>
      <c r="E8" s="4">
        <f>B8*D8</f>
        <v>0.4</v>
      </c>
      <c r="G8" s="3" t="s">
        <v>11</v>
      </c>
      <c r="H8" s="1">
        <v>10</v>
      </c>
      <c r="I8" s="1" t="s">
        <v>10</v>
      </c>
      <c r="J8" s="4">
        <v>0.04</v>
      </c>
      <c r="K8" s="4">
        <f>H8*J8</f>
        <v>0.4</v>
      </c>
    </row>
    <row r="9" spans="1:11" x14ac:dyDescent="0.25">
      <c r="A9" s="3" t="s">
        <v>18</v>
      </c>
      <c r="B9" s="1">
        <v>1</v>
      </c>
      <c r="C9" s="1" t="s">
        <v>4</v>
      </c>
      <c r="D9" s="4">
        <v>0.69</v>
      </c>
      <c r="E9" s="4">
        <f>B9*D9</f>
        <v>0.69</v>
      </c>
      <c r="G9" s="3" t="s">
        <v>18</v>
      </c>
      <c r="H9" s="1">
        <v>1</v>
      </c>
      <c r="I9" s="1" t="s">
        <v>4</v>
      </c>
      <c r="J9" s="4">
        <v>0.69</v>
      </c>
      <c r="K9" s="4">
        <f>H9*J9</f>
        <v>0.69</v>
      </c>
    </row>
    <row r="10" spans="1:11" x14ac:dyDescent="0.25">
      <c r="A10" s="31" t="s">
        <v>24</v>
      </c>
      <c r="B10" s="6">
        <v>0.3</v>
      </c>
      <c r="C10" s="6" t="s">
        <v>45</v>
      </c>
      <c r="D10" s="4">
        <v>1.02</v>
      </c>
      <c r="E10" s="4">
        <v>2.9</v>
      </c>
      <c r="G10" s="31" t="s">
        <v>24</v>
      </c>
      <c r="H10" s="6">
        <v>0.3</v>
      </c>
      <c r="I10" s="6" t="s">
        <v>45</v>
      </c>
      <c r="J10" s="4">
        <v>1.02</v>
      </c>
      <c r="K10" s="4">
        <v>2.9</v>
      </c>
    </row>
    <row r="11" spans="1:11" x14ac:dyDescent="0.25">
      <c r="A11" s="3" t="s">
        <v>85</v>
      </c>
      <c r="B11" s="1">
        <v>1</v>
      </c>
      <c r="C11" s="1" t="s">
        <v>86</v>
      </c>
      <c r="D11" s="4">
        <v>0.36</v>
      </c>
      <c r="E11" s="4">
        <f>B11*D11</f>
        <v>0.36</v>
      </c>
      <c r="G11" s="3" t="s">
        <v>85</v>
      </c>
      <c r="H11" s="1">
        <v>1</v>
      </c>
      <c r="I11" s="1" t="s">
        <v>86</v>
      </c>
      <c r="J11" s="4">
        <v>0.36</v>
      </c>
      <c r="K11" s="4">
        <f>H11*J11</f>
        <v>0.36</v>
      </c>
    </row>
    <row r="12" spans="1:11" ht="18.75" x14ac:dyDescent="0.25">
      <c r="A12" s="46" t="s">
        <v>12</v>
      </c>
      <c r="B12" s="47"/>
      <c r="C12" s="47"/>
      <c r="D12" s="48"/>
      <c r="E12" s="11">
        <f>SUM(E4:E11)</f>
        <v>30.65</v>
      </c>
      <c r="G12" s="46" t="s">
        <v>12</v>
      </c>
      <c r="H12" s="47"/>
      <c r="I12" s="47"/>
      <c r="J12" s="48"/>
      <c r="K12" s="11">
        <f>SUM(K4:K11)</f>
        <v>47.11</v>
      </c>
    </row>
    <row r="13" spans="1:11" ht="18.75" x14ac:dyDescent="0.25">
      <c r="A13" s="10"/>
      <c r="B13" s="10"/>
      <c r="C13" s="10"/>
      <c r="D13" s="11"/>
      <c r="E13" s="11"/>
      <c r="G13" s="10"/>
      <c r="H13" s="10"/>
      <c r="I13" s="10"/>
      <c r="J13" s="11"/>
      <c r="K13" s="11"/>
    </row>
    <row r="14" spans="1:11" x14ac:dyDescent="0.25">
      <c r="A14" s="3"/>
      <c r="B14" s="3"/>
      <c r="C14" s="1"/>
      <c r="D14" s="4"/>
      <c r="E14" s="4"/>
      <c r="G14" s="3"/>
      <c r="H14" s="3"/>
      <c r="I14" s="1"/>
      <c r="J14" s="4"/>
      <c r="K14" s="4"/>
    </row>
    <row r="15" spans="1:11" x14ac:dyDescent="0.25">
      <c r="A15" s="3" t="s">
        <v>40</v>
      </c>
      <c r="B15" s="3">
        <v>1</v>
      </c>
      <c r="C15" s="1" t="s">
        <v>13</v>
      </c>
      <c r="D15" s="4">
        <v>17</v>
      </c>
      <c r="E15" s="4">
        <v>17</v>
      </c>
      <c r="G15" s="3" t="s">
        <v>40</v>
      </c>
      <c r="H15" s="3">
        <v>1</v>
      </c>
      <c r="I15" s="1" t="s">
        <v>13</v>
      </c>
      <c r="J15" s="4">
        <v>17</v>
      </c>
      <c r="K15" s="4">
        <v>17</v>
      </c>
    </row>
    <row r="16" spans="1:11" x14ac:dyDescent="0.25">
      <c r="A16" s="3"/>
      <c r="B16" s="3"/>
      <c r="C16" s="1"/>
      <c r="D16" s="4"/>
      <c r="E16" s="4"/>
      <c r="G16" s="3"/>
      <c r="H16" s="3"/>
      <c r="I16" s="1"/>
      <c r="J16" s="4"/>
      <c r="K16" s="4"/>
    </row>
    <row r="17" spans="1:12" ht="18.75" x14ac:dyDescent="0.25">
      <c r="A17" s="46" t="s">
        <v>15</v>
      </c>
      <c r="B17" s="47"/>
      <c r="C17" s="47"/>
      <c r="D17" s="48"/>
      <c r="E17" s="11">
        <f>SUM(E14:E16)</f>
        <v>17</v>
      </c>
      <c r="G17" s="46" t="s">
        <v>15</v>
      </c>
      <c r="H17" s="47"/>
      <c r="I17" s="47"/>
      <c r="J17" s="48"/>
      <c r="K17" s="11">
        <f>SUM(K14:K16)</f>
        <v>17</v>
      </c>
    </row>
    <row r="18" spans="1:12" ht="15.75" x14ac:dyDescent="0.25">
      <c r="A18" s="49" t="s">
        <v>41</v>
      </c>
      <c r="B18" s="50"/>
      <c r="C18" s="50"/>
      <c r="D18" s="51"/>
      <c r="E18" s="13">
        <f>SUM(E17,E12)*61%</f>
        <v>29.066499999999998</v>
      </c>
      <c r="G18" s="49" t="s">
        <v>41</v>
      </c>
      <c r="H18" s="50"/>
      <c r="I18" s="50"/>
      <c r="J18" s="51"/>
      <c r="K18" s="13">
        <f>SUM(K17,K12)*61%</f>
        <v>39.107099999999996</v>
      </c>
    </row>
    <row r="19" spans="1:12" ht="18.75" x14ac:dyDescent="0.25">
      <c r="A19" s="46" t="s">
        <v>14</v>
      </c>
      <c r="B19" s="47"/>
      <c r="C19" s="47"/>
      <c r="D19" s="48"/>
      <c r="E19" s="11">
        <f>SUM(E18,E17,E12)</f>
        <v>76.716499999999996</v>
      </c>
      <c r="G19" s="46" t="s">
        <v>14</v>
      </c>
      <c r="H19" s="47"/>
      <c r="I19" s="47"/>
      <c r="J19" s="48"/>
      <c r="K19" s="11">
        <f>SUM(K18,K17,K12)</f>
        <v>103.21709999999999</v>
      </c>
    </row>
    <row r="20" spans="1:12" ht="15.75" x14ac:dyDescent="0.25">
      <c r="A20" s="52" t="s">
        <v>16</v>
      </c>
      <c r="B20" s="53"/>
      <c r="C20" s="53"/>
      <c r="D20" s="54"/>
      <c r="E20" s="25">
        <f>(E21-E19)/E19</f>
        <v>1.6070011014579655</v>
      </c>
      <c r="G20" s="52" t="s">
        <v>16</v>
      </c>
      <c r="H20" s="53"/>
      <c r="I20" s="53"/>
      <c r="J20" s="54"/>
      <c r="K20" s="25">
        <f>(K21-K19)/K19</f>
        <v>0.93766342979990747</v>
      </c>
    </row>
    <row r="21" spans="1:12" ht="18.75" x14ac:dyDescent="0.25">
      <c r="A21" s="44" t="s">
        <v>17</v>
      </c>
      <c r="B21" s="44"/>
      <c r="C21" s="44"/>
      <c r="D21" s="44"/>
      <c r="E21" s="11">
        <v>200</v>
      </c>
      <c r="F21" s="24"/>
      <c r="G21" s="44" t="s">
        <v>108</v>
      </c>
      <c r="H21" s="44"/>
      <c r="I21" s="44"/>
      <c r="J21" s="44"/>
      <c r="K21" s="11">
        <v>200</v>
      </c>
      <c r="L21" s="24"/>
    </row>
    <row r="22" spans="1:12" ht="12.75" customHeight="1" x14ac:dyDescent="0.25"/>
    <row r="23" spans="1:12" ht="10.5" customHeight="1" x14ac:dyDescent="0.25"/>
    <row r="24" spans="1:12" x14ac:dyDescent="0.25">
      <c r="A24" s="45" t="s">
        <v>100</v>
      </c>
      <c r="B24" s="45"/>
      <c r="C24" s="45"/>
      <c r="D24" s="45"/>
      <c r="E24" s="45"/>
    </row>
    <row r="25" spans="1:12" x14ac:dyDescent="0.25">
      <c r="A25" s="45"/>
      <c r="B25" s="45"/>
      <c r="C25" s="45"/>
      <c r="D25" s="45"/>
      <c r="E25" s="45"/>
    </row>
    <row r="26" spans="1:12" x14ac:dyDescent="0.25">
      <c r="A26" s="2" t="s">
        <v>7</v>
      </c>
      <c r="B26" s="2" t="s">
        <v>3</v>
      </c>
      <c r="C26" s="2" t="s">
        <v>4</v>
      </c>
      <c r="D26" s="2" t="s">
        <v>6</v>
      </c>
      <c r="E26" s="2" t="s">
        <v>5</v>
      </c>
    </row>
    <row r="27" spans="1:12" x14ac:dyDescent="0.25">
      <c r="A27" s="31" t="s">
        <v>37</v>
      </c>
      <c r="B27" s="1">
        <v>2</v>
      </c>
      <c r="C27" s="1" t="s">
        <v>10</v>
      </c>
      <c r="D27" s="4">
        <v>10.16</v>
      </c>
      <c r="E27" s="4">
        <f>B27*D27</f>
        <v>20.32</v>
      </c>
    </row>
    <row r="28" spans="1:12" x14ac:dyDescent="0.25">
      <c r="A28" s="31" t="s">
        <v>98</v>
      </c>
      <c r="B28" s="1">
        <v>2</v>
      </c>
      <c r="C28" s="1" t="s">
        <v>10</v>
      </c>
      <c r="D28" s="4">
        <f>1+6.69</f>
        <v>7.69</v>
      </c>
      <c r="E28" s="7">
        <f t="shared" ref="E28" si="2">B28*D28</f>
        <v>15.38</v>
      </c>
    </row>
    <row r="29" spans="1:12" x14ac:dyDescent="0.25">
      <c r="A29" s="5" t="s">
        <v>51</v>
      </c>
      <c r="B29" s="6">
        <v>6</v>
      </c>
      <c r="C29" s="6" t="s">
        <v>4</v>
      </c>
      <c r="D29" s="7">
        <v>0.16</v>
      </c>
      <c r="E29" s="7">
        <f t="shared" ref="E29" si="3">B29*D29</f>
        <v>0.96</v>
      </c>
    </row>
    <row r="30" spans="1:12" x14ac:dyDescent="0.25">
      <c r="A30" s="3" t="s">
        <v>43</v>
      </c>
      <c r="B30" s="1">
        <v>1</v>
      </c>
      <c r="C30" s="1" t="s">
        <v>4</v>
      </c>
      <c r="D30" s="4">
        <v>4.75</v>
      </c>
      <c r="E30" s="4">
        <f>B30*D30</f>
        <v>4.75</v>
      </c>
    </row>
    <row r="31" spans="1:12" x14ac:dyDescent="0.25">
      <c r="A31" s="3" t="s">
        <v>84</v>
      </c>
      <c r="B31" s="1">
        <v>1</v>
      </c>
      <c r="C31" s="1" t="s">
        <v>4</v>
      </c>
      <c r="D31" s="4">
        <v>0.27</v>
      </c>
      <c r="E31" s="4">
        <f>B31*D31</f>
        <v>0.27</v>
      </c>
    </row>
    <row r="32" spans="1:12" x14ac:dyDescent="0.25">
      <c r="A32" s="3" t="s">
        <v>11</v>
      </c>
      <c r="B32" s="1">
        <v>10</v>
      </c>
      <c r="C32" s="1" t="s">
        <v>10</v>
      </c>
      <c r="D32" s="4">
        <v>0.04</v>
      </c>
      <c r="E32" s="4">
        <f>B32*D32</f>
        <v>0.4</v>
      </c>
    </row>
    <row r="33" spans="1:6" x14ac:dyDescent="0.25">
      <c r="A33" s="3" t="s">
        <v>18</v>
      </c>
      <c r="B33" s="1">
        <v>1</v>
      </c>
      <c r="C33" s="1" t="s">
        <v>4</v>
      </c>
      <c r="D33" s="4">
        <v>0.69</v>
      </c>
      <c r="E33" s="4">
        <f>B33*D33</f>
        <v>0.69</v>
      </c>
    </row>
    <row r="34" spans="1:6" x14ac:dyDescent="0.25">
      <c r="A34" s="31" t="s">
        <v>24</v>
      </c>
      <c r="B34" s="6">
        <v>0.3</v>
      </c>
      <c r="C34" s="6" t="s">
        <v>45</v>
      </c>
      <c r="D34" s="4">
        <v>1.02</v>
      </c>
      <c r="E34" s="4">
        <v>2.9</v>
      </c>
    </row>
    <row r="35" spans="1:6" x14ac:dyDescent="0.25">
      <c r="A35" s="3" t="s">
        <v>85</v>
      </c>
      <c r="B35" s="1">
        <v>1</v>
      </c>
      <c r="C35" s="1" t="s">
        <v>86</v>
      </c>
      <c r="D35" s="4">
        <v>0.36</v>
      </c>
      <c r="E35" s="4">
        <f>B35*D35</f>
        <v>0.36</v>
      </c>
    </row>
    <row r="36" spans="1:6" ht="18.75" x14ac:dyDescent="0.25">
      <c r="A36" s="46" t="s">
        <v>12</v>
      </c>
      <c r="B36" s="47"/>
      <c r="C36" s="47"/>
      <c r="D36" s="48"/>
      <c r="E36" s="11">
        <f>SUM(E27:E35)</f>
        <v>46.03</v>
      </c>
    </row>
    <row r="37" spans="1:6" ht="18.75" x14ac:dyDescent="0.25">
      <c r="A37" s="10"/>
      <c r="B37" s="10"/>
      <c r="C37" s="10"/>
      <c r="D37" s="11"/>
      <c r="E37" s="11"/>
    </row>
    <row r="38" spans="1:6" x14ac:dyDescent="0.25">
      <c r="A38" s="3"/>
      <c r="B38" s="3"/>
      <c r="C38" s="1"/>
      <c r="D38" s="4"/>
      <c r="E38" s="4"/>
    </row>
    <row r="39" spans="1:6" x14ac:dyDescent="0.25">
      <c r="A39" s="3" t="s">
        <v>40</v>
      </c>
      <c r="B39" s="3">
        <v>1</v>
      </c>
      <c r="C39" s="1" t="s">
        <v>13</v>
      </c>
      <c r="D39" s="4">
        <v>17</v>
      </c>
      <c r="E39" s="4">
        <v>17</v>
      </c>
    </row>
    <row r="40" spans="1:6" x14ac:dyDescent="0.25">
      <c r="A40" s="3"/>
      <c r="B40" s="3"/>
      <c r="C40" s="1"/>
      <c r="D40" s="4"/>
      <c r="E40" s="4"/>
    </row>
    <row r="41" spans="1:6" ht="18.75" x14ac:dyDescent="0.25">
      <c r="A41" s="46" t="s">
        <v>15</v>
      </c>
      <c r="B41" s="47"/>
      <c r="C41" s="47"/>
      <c r="D41" s="48"/>
      <c r="E41" s="11">
        <f>SUM(E38:E40)</f>
        <v>17</v>
      </c>
    </row>
    <row r="42" spans="1:6" ht="15.75" x14ac:dyDescent="0.25">
      <c r="A42" s="49" t="s">
        <v>41</v>
      </c>
      <c r="B42" s="50"/>
      <c r="C42" s="50"/>
      <c r="D42" s="51"/>
      <c r="E42" s="13">
        <f>SUM(E41,E36)*61%</f>
        <v>38.448300000000003</v>
      </c>
    </row>
    <row r="43" spans="1:6" ht="18.75" x14ac:dyDescent="0.25">
      <c r="A43" s="46" t="s">
        <v>14</v>
      </c>
      <c r="B43" s="47"/>
      <c r="C43" s="47"/>
      <c r="D43" s="48"/>
      <c r="E43" s="11">
        <f>SUM(E42,E41,E36)</f>
        <v>101.4783</v>
      </c>
    </row>
    <row r="44" spans="1:6" ht="15.75" x14ac:dyDescent="0.25">
      <c r="A44" s="52" t="s">
        <v>16</v>
      </c>
      <c r="B44" s="53"/>
      <c r="C44" s="53"/>
      <c r="D44" s="54"/>
      <c r="E44" s="25">
        <f>(E45-E43)/E43</f>
        <v>1.3650376484430662</v>
      </c>
    </row>
    <row r="45" spans="1:6" ht="18.75" x14ac:dyDescent="0.25">
      <c r="A45" s="44" t="s">
        <v>17</v>
      </c>
      <c r="B45" s="44"/>
      <c r="C45" s="44"/>
      <c r="D45" s="44"/>
      <c r="E45" s="11">
        <v>240</v>
      </c>
      <c r="F45" s="24"/>
    </row>
    <row r="46" spans="1:6" ht="9" customHeight="1" x14ac:dyDescent="0.25"/>
    <row r="47" spans="1:6" x14ac:dyDescent="0.25">
      <c r="A47" s="27" t="s">
        <v>89</v>
      </c>
      <c r="B47" s="28"/>
      <c r="C47" s="28"/>
      <c r="D47" s="35"/>
    </row>
    <row r="48" spans="1:6" x14ac:dyDescent="0.25">
      <c r="A48" s="33" t="s">
        <v>88</v>
      </c>
      <c r="B48" s="34"/>
    </row>
  </sheetData>
  <sortState xmlns:xlrd2="http://schemas.microsoft.com/office/spreadsheetml/2017/richdata2" ref="A6:E11">
    <sortCondition ref="A5"/>
  </sortState>
  <mergeCells count="21">
    <mergeCell ref="G21:J21"/>
    <mergeCell ref="G1:K2"/>
    <mergeCell ref="G12:J12"/>
    <mergeCell ref="G17:J17"/>
    <mergeCell ref="G18:J18"/>
    <mergeCell ref="G19:J19"/>
    <mergeCell ref="G20:J20"/>
    <mergeCell ref="A1:E2"/>
    <mergeCell ref="A12:D12"/>
    <mergeCell ref="A17:D17"/>
    <mergeCell ref="A18:D18"/>
    <mergeCell ref="A19:D19"/>
    <mergeCell ref="A42:D42"/>
    <mergeCell ref="A43:D43"/>
    <mergeCell ref="A44:D44"/>
    <mergeCell ref="A45:D45"/>
    <mergeCell ref="A20:D20"/>
    <mergeCell ref="A21:D21"/>
    <mergeCell ref="A24:E25"/>
    <mergeCell ref="A36:D36"/>
    <mergeCell ref="A41:D4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E2FA0-D6AA-43B4-BEB3-712F06F0C17B}">
  <dimension ref="A1:L48"/>
  <sheetViews>
    <sheetView topLeftCell="A25" workbookViewId="0">
      <selection activeCell="J26" sqref="J26"/>
    </sheetView>
  </sheetViews>
  <sheetFormatPr defaultRowHeight="15" x14ac:dyDescent="0.25"/>
  <cols>
    <col min="1" max="1" width="24.85546875" bestFit="1" customWidth="1"/>
    <col min="2" max="2" width="11.42578125" bestFit="1" customWidth="1"/>
    <col min="3" max="3" width="8.5703125" bestFit="1" customWidth="1"/>
    <col min="4" max="4" width="13.85546875" bestFit="1" customWidth="1"/>
    <col min="5" max="5" width="18.140625" bestFit="1" customWidth="1"/>
    <col min="7" max="7" width="24.85546875" bestFit="1" customWidth="1"/>
    <col min="8" max="8" width="11.42578125" bestFit="1" customWidth="1"/>
    <col min="9" max="9" width="8.5703125" bestFit="1" customWidth="1"/>
    <col min="10" max="10" width="13.85546875" bestFit="1" customWidth="1"/>
    <col min="11" max="11" width="24.5703125" customWidth="1"/>
  </cols>
  <sheetData>
    <row r="1" spans="1:11" x14ac:dyDescent="0.25">
      <c r="A1" s="45" t="s">
        <v>166</v>
      </c>
      <c r="B1" s="45"/>
      <c r="C1" s="45"/>
      <c r="D1" s="45"/>
      <c r="E1" s="45"/>
      <c r="G1" s="45" t="s">
        <v>167</v>
      </c>
      <c r="H1" s="45"/>
      <c r="I1" s="45"/>
      <c r="J1" s="45"/>
      <c r="K1" s="45"/>
    </row>
    <row r="2" spans="1:11" ht="15" customHeight="1" x14ac:dyDescent="0.25">
      <c r="A2" s="45"/>
      <c r="B2" s="45"/>
      <c r="C2" s="45"/>
      <c r="D2" s="45"/>
      <c r="E2" s="45"/>
      <c r="G2" s="45"/>
      <c r="H2" s="45"/>
      <c r="I2" s="45"/>
      <c r="J2" s="45"/>
      <c r="K2" s="45"/>
    </row>
    <row r="3" spans="1:11" ht="16.5" customHeight="1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  <c r="G3" s="2" t="s">
        <v>7</v>
      </c>
      <c r="H3" s="2" t="s">
        <v>3</v>
      </c>
      <c r="I3" s="2" t="s">
        <v>4</v>
      </c>
      <c r="J3" s="2" t="s">
        <v>6</v>
      </c>
      <c r="K3" s="2" t="s">
        <v>5</v>
      </c>
    </row>
    <row r="4" spans="1:11" x14ac:dyDescent="0.25">
      <c r="A4" s="31" t="s">
        <v>37</v>
      </c>
      <c r="B4" s="1">
        <v>2</v>
      </c>
      <c r="C4" s="1" t="s">
        <v>10</v>
      </c>
      <c r="D4" s="4">
        <v>8.4</v>
      </c>
      <c r="E4" s="4">
        <f>B4*D4</f>
        <v>16.8</v>
      </c>
      <c r="G4" s="31" t="s">
        <v>37</v>
      </c>
      <c r="H4" s="1">
        <v>2</v>
      </c>
      <c r="I4" s="1" t="s">
        <v>10</v>
      </c>
      <c r="J4" s="4">
        <v>7.74</v>
      </c>
      <c r="K4" s="4">
        <f>H4*J4</f>
        <v>15.48</v>
      </c>
    </row>
    <row r="5" spans="1:11" ht="16.5" customHeight="1" x14ac:dyDescent="0.25">
      <c r="A5" s="5" t="s">
        <v>164</v>
      </c>
      <c r="B5" s="6">
        <v>1</v>
      </c>
      <c r="C5" s="6" t="s">
        <v>4</v>
      </c>
      <c r="D5" s="7">
        <v>1.6</v>
      </c>
      <c r="E5" s="7">
        <f t="shared" ref="E5" si="0">B5*D5</f>
        <v>1.6</v>
      </c>
      <c r="G5" s="5" t="s">
        <v>164</v>
      </c>
      <c r="H5" s="6">
        <v>1</v>
      </c>
      <c r="I5" s="6" t="s">
        <v>4</v>
      </c>
      <c r="J5" s="7">
        <v>1.17</v>
      </c>
      <c r="K5" s="7">
        <f t="shared" ref="K5" si="1">H5*J5</f>
        <v>1.17</v>
      </c>
    </row>
    <row r="6" spans="1:11" x14ac:dyDescent="0.25">
      <c r="A6" s="3" t="s">
        <v>43</v>
      </c>
      <c r="B6" s="1">
        <v>1</v>
      </c>
      <c r="C6" s="1" t="s">
        <v>4</v>
      </c>
      <c r="D6" s="4">
        <v>4.75</v>
      </c>
      <c r="E6" s="4">
        <f t="shared" ref="E6:E11" si="2">B6*D6</f>
        <v>4.75</v>
      </c>
      <c r="G6" s="3" t="s">
        <v>43</v>
      </c>
      <c r="H6" s="1">
        <v>1</v>
      </c>
      <c r="I6" s="1" t="s">
        <v>4</v>
      </c>
      <c r="J6" s="4">
        <v>4.75</v>
      </c>
      <c r="K6" s="4">
        <f>H6*J6</f>
        <v>4.75</v>
      </c>
    </row>
    <row r="7" spans="1:11" x14ac:dyDescent="0.25">
      <c r="A7" s="3" t="s">
        <v>84</v>
      </c>
      <c r="B7" s="1">
        <v>1</v>
      </c>
      <c r="C7" s="1" t="s">
        <v>4</v>
      </c>
      <c r="D7" s="4">
        <v>0.27</v>
      </c>
      <c r="E7" s="4">
        <f t="shared" si="2"/>
        <v>0.27</v>
      </c>
      <c r="G7" s="3" t="s">
        <v>84</v>
      </c>
      <c r="H7" s="1">
        <v>1</v>
      </c>
      <c r="I7" s="1" t="s">
        <v>4</v>
      </c>
      <c r="J7" s="4">
        <v>0.27</v>
      </c>
      <c r="K7" s="4">
        <f>H7*J7</f>
        <v>0.27</v>
      </c>
    </row>
    <row r="8" spans="1:11" x14ac:dyDescent="0.25">
      <c r="A8" s="3" t="s">
        <v>11</v>
      </c>
      <c r="B8" s="1">
        <v>10</v>
      </c>
      <c r="C8" s="1" t="s">
        <v>10</v>
      </c>
      <c r="D8" s="4">
        <v>0.04</v>
      </c>
      <c r="E8" s="4">
        <f t="shared" si="2"/>
        <v>0.4</v>
      </c>
      <c r="G8" s="3" t="s">
        <v>11</v>
      </c>
      <c r="H8" s="1">
        <v>10</v>
      </c>
      <c r="I8" s="1" t="s">
        <v>10</v>
      </c>
      <c r="J8" s="4">
        <v>0.04</v>
      </c>
      <c r="K8" s="4">
        <f>H8*J8</f>
        <v>0.4</v>
      </c>
    </row>
    <row r="9" spans="1:11" x14ac:dyDescent="0.25">
      <c r="A9" s="3" t="s">
        <v>18</v>
      </c>
      <c r="B9" s="1">
        <v>1</v>
      </c>
      <c r="C9" s="1" t="s">
        <v>4</v>
      </c>
      <c r="D9" s="4">
        <v>0.69</v>
      </c>
      <c r="E9" s="4">
        <f t="shared" si="2"/>
        <v>0.69</v>
      </c>
      <c r="G9" s="3" t="s">
        <v>18</v>
      </c>
      <c r="H9" s="1">
        <v>1</v>
      </c>
      <c r="I9" s="1" t="s">
        <v>4</v>
      </c>
      <c r="J9" s="4">
        <v>0.69</v>
      </c>
      <c r="K9" s="4">
        <f>H9*J9</f>
        <v>0.69</v>
      </c>
    </row>
    <row r="10" spans="1:11" x14ac:dyDescent="0.25">
      <c r="A10" s="31" t="s">
        <v>153</v>
      </c>
      <c r="B10" s="6">
        <v>0.6</v>
      </c>
      <c r="C10" s="6" t="s">
        <v>123</v>
      </c>
      <c r="D10" s="4">
        <v>0.32</v>
      </c>
      <c r="E10" s="4">
        <f t="shared" si="2"/>
        <v>0.192</v>
      </c>
      <c r="G10" s="31" t="s">
        <v>165</v>
      </c>
      <c r="H10" s="6">
        <v>0.6</v>
      </c>
      <c r="I10" s="6" t="s">
        <v>123</v>
      </c>
      <c r="J10" s="4">
        <v>0.32</v>
      </c>
      <c r="K10" s="4">
        <f>H10*J10</f>
        <v>0.192</v>
      </c>
    </row>
    <row r="11" spans="1:11" x14ac:dyDescent="0.25">
      <c r="A11" s="3" t="s">
        <v>85</v>
      </c>
      <c r="B11" s="1">
        <v>1</v>
      </c>
      <c r="C11" s="1" t="s">
        <v>86</v>
      </c>
      <c r="D11" s="4">
        <v>0.38</v>
      </c>
      <c r="E11" s="4">
        <f t="shared" si="2"/>
        <v>0.38</v>
      </c>
      <c r="G11" s="3" t="s">
        <v>85</v>
      </c>
      <c r="H11" s="1">
        <v>1</v>
      </c>
      <c r="I11" s="1" t="s">
        <v>86</v>
      </c>
      <c r="J11" s="4">
        <v>0.38</v>
      </c>
      <c r="K11" s="4">
        <v>0.38</v>
      </c>
    </row>
    <row r="12" spans="1:11" ht="18.75" x14ac:dyDescent="0.25">
      <c r="A12" s="46" t="s">
        <v>12</v>
      </c>
      <c r="B12" s="47"/>
      <c r="C12" s="47"/>
      <c r="D12" s="48"/>
      <c r="E12" s="11">
        <f>SUM(E4:E11)</f>
        <v>25.082000000000001</v>
      </c>
      <c r="G12" s="46" t="s">
        <v>12</v>
      </c>
      <c r="H12" s="47"/>
      <c r="I12" s="47"/>
      <c r="J12" s="48"/>
      <c r="K12" s="11">
        <f>SUM(K4:K11)</f>
        <v>23.331999999999997</v>
      </c>
    </row>
    <row r="13" spans="1:11" ht="18.75" x14ac:dyDescent="0.25">
      <c r="A13" s="10"/>
      <c r="B13" s="10"/>
      <c r="C13" s="10"/>
      <c r="D13" s="11"/>
      <c r="E13" s="11"/>
      <c r="G13" s="10"/>
      <c r="H13" s="10"/>
      <c r="I13" s="10"/>
      <c r="J13" s="11"/>
      <c r="K13" s="11"/>
    </row>
    <row r="14" spans="1:11" x14ac:dyDescent="0.25">
      <c r="A14" s="3"/>
      <c r="B14" s="3"/>
      <c r="C14" s="1"/>
      <c r="D14" s="4"/>
      <c r="E14" s="4"/>
      <c r="G14" s="3"/>
      <c r="H14" s="3"/>
      <c r="I14" s="1"/>
      <c r="J14" s="4"/>
      <c r="K14" s="4"/>
    </row>
    <row r="15" spans="1:11" x14ac:dyDescent="0.25">
      <c r="A15" s="3" t="s">
        <v>40</v>
      </c>
      <c r="B15" s="3">
        <v>1</v>
      </c>
      <c r="C15" s="1" t="s">
        <v>13</v>
      </c>
      <c r="D15" s="4">
        <v>15</v>
      </c>
      <c r="E15" s="4">
        <v>15</v>
      </c>
      <c r="G15" s="3" t="s">
        <v>40</v>
      </c>
      <c r="H15" s="3">
        <v>1</v>
      </c>
      <c r="I15" s="1" t="s">
        <v>13</v>
      </c>
      <c r="J15" s="4">
        <v>15</v>
      </c>
      <c r="K15" s="4">
        <v>15</v>
      </c>
    </row>
    <row r="16" spans="1:11" x14ac:dyDescent="0.25">
      <c r="A16" s="3"/>
      <c r="B16" s="3"/>
      <c r="C16" s="1"/>
      <c r="D16" s="4"/>
      <c r="E16" s="4"/>
      <c r="G16" s="3"/>
      <c r="H16" s="3"/>
      <c r="I16" s="1"/>
      <c r="J16" s="4"/>
      <c r="K16" s="4"/>
    </row>
    <row r="17" spans="1:12" ht="18.75" x14ac:dyDescent="0.25">
      <c r="A17" s="46" t="s">
        <v>15</v>
      </c>
      <c r="B17" s="47"/>
      <c r="C17" s="47"/>
      <c r="D17" s="48"/>
      <c r="E17" s="11">
        <f>SUM(E14:E16)</f>
        <v>15</v>
      </c>
      <c r="G17" s="46" t="s">
        <v>15</v>
      </c>
      <c r="H17" s="47"/>
      <c r="I17" s="47"/>
      <c r="J17" s="48"/>
      <c r="K17" s="11">
        <f>SUM(K14:K16)</f>
        <v>15</v>
      </c>
    </row>
    <row r="18" spans="1:12" ht="15.75" x14ac:dyDescent="0.25">
      <c r="A18" s="49" t="s">
        <v>41</v>
      </c>
      <c r="B18" s="50"/>
      <c r="C18" s="50"/>
      <c r="D18" s="51"/>
      <c r="E18" s="13">
        <f>SUM(E17,E12)*61%</f>
        <v>24.450019999999999</v>
      </c>
      <c r="G18" s="49" t="s">
        <v>41</v>
      </c>
      <c r="H18" s="50"/>
      <c r="I18" s="50"/>
      <c r="J18" s="51"/>
      <c r="K18" s="13">
        <f>SUM(K17,K12)*61%</f>
        <v>23.382519999999996</v>
      </c>
    </row>
    <row r="19" spans="1:12" ht="18.75" x14ac:dyDescent="0.25">
      <c r="A19" s="46" t="s">
        <v>14</v>
      </c>
      <c r="B19" s="47"/>
      <c r="C19" s="47"/>
      <c r="D19" s="48"/>
      <c r="E19" s="11">
        <f>SUM(E18,E17,E12)</f>
        <v>64.532019999999989</v>
      </c>
      <c r="G19" s="46" t="s">
        <v>14</v>
      </c>
      <c r="H19" s="47"/>
      <c r="I19" s="47"/>
      <c r="J19" s="48"/>
      <c r="K19" s="11">
        <f>SUM(K18,K17,K12)</f>
        <v>61.714519999999993</v>
      </c>
    </row>
    <row r="20" spans="1:12" ht="15.75" x14ac:dyDescent="0.25">
      <c r="A20" s="52" t="s">
        <v>16</v>
      </c>
      <c r="B20" s="53"/>
      <c r="C20" s="53"/>
      <c r="D20" s="54"/>
      <c r="E20" s="25">
        <f>(E21-E19)/E19</f>
        <v>-1</v>
      </c>
      <c r="G20" s="52" t="s">
        <v>16</v>
      </c>
      <c r="H20" s="53"/>
      <c r="I20" s="53"/>
      <c r="J20" s="54"/>
      <c r="K20" s="25">
        <f>(K21-K19)/K19</f>
        <v>-1</v>
      </c>
    </row>
    <row r="21" spans="1:12" ht="18.75" x14ac:dyDescent="0.25">
      <c r="A21" s="44" t="s">
        <v>17</v>
      </c>
      <c r="B21" s="44"/>
      <c r="C21" s="44"/>
      <c r="D21" s="44"/>
      <c r="E21" s="11">
        <v>0</v>
      </c>
      <c r="F21" s="24"/>
      <c r="G21" s="44" t="s">
        <v>108</v>
      </c>
      <c r="H21" s="44"/>
      <c r="I21" s="44"/>
      <c r="J21" s="44"/>
      <c r="K21" s="11">
        <v>0</v>
      </c>
      <c r="L21" s="24"/>
    </row>
    <row r="22" spans="1:12" ht="12.75" customHeight="1" x14ac:dyDescent="0.25"/>
    <row r="23" spans="1:12" ht="10.5" customHeight="1" x14ac:dyDescent="0.25"/>
    <row r="24" spans="1:12" x14ac:dyDescent="0.25">
      <c r="A24" s="45" t="s">
        <v>168</v>
      </c>
      <c r="B24" s="45"/>
      <c r="C24" s="45"/>
      <c r="D24" s="45"/>
      <c r="E24" s="45"/>
    </row>
    <row r="25" spans="1:12" x14ac:dyDescent="0.25">
      <c r="A25" s="45"/>
      <c r="B25" s="45"/>
      <c r="C25" s="45"/>
      <c r="D25" s="45"/>
      <c r="E25" s="45"/>
    </row>
    <row r="26" spans="1:12" x14ac:dyDescent="0.25">
      <c r="A26" s="2" t="s">
        <v>7</v>
      </c>
      <c r="B26" s="2" t="s">
        <v>3</v>
      </c>
      <c r="C26" s="2" t="s">
        <v>4</v>
      </c>
      <c r="D26" s="2" t="s">
        <v>6</v>
      </c>
      <c r="E26" s="2" t="s">
        <v>5</v>
      </c>
    </row>
    <row r="27" spans="1:12" x14ac:dyDescent="0.25">
      <c r="A27" s="31" t="s">
        <v>37</v>
      </c>
      <c r="B27" s="1">
        <v>2</v>
      </c>
      <c r="C27" s="1" t="s">
        <v>10</v>
      </c>
      <c r="D27" s="4">
        <v>7.74</v>
      </c>
      <c r="E27" s="4">
        <f>B27*D27</f>
        <v>15.48</v>
      </c>
    </row>
    <row r="28" spans="1:12" x14ac:dyDescent="0.25">
      <c r="A28" s="31" t="s">
        <v>98</v>
      </c>
      <c r="B28" s="1">
        <v>2</v>
      </c>
      <c r="C28" s="1" t="s">
        <v>10</v>
      </c>
      <c r="D28" s="4">
        <v>6.2</v>
      </c>
      <c r="E28" s="7">
        <f t="shared" ref="E28:E29" si="3">B28*D28</f>
        <v>12.4</v>
      </c>
    </row>
    <row r="29" spans="1:12" x14ac:dyDescent="0.25">
      <c r="A29" s="5" t="s">
        <v>164</v>
      </c>
      <c r="B29" s="6">
        <v>1</v>
      </c>
      <c r="C29" s="6" t="s">
        <v>4</v>
      </c>
      <c r="D29" s="7">
        <v>1.6</v>
      </c>
      <c r="E29" s="7">
        <f t="shared" si="3"/>
        <v>1.6</v>
      </c>
    </row>
    <row r="30" spans="1:12" x14ac:dyDescent="0.25">
      <c r="A30" s="3" t="s">
        <v>43</v>
      </c>
      <c r="B30" s="1">
        <v>1</v>
      </c>
      <c r="C30" s="1" t="s">
        <v>4</v>
      </c>
      <c r="D30" s="4">
        <v>4.75</v>
      </c>
      <c r="E30" s="4">
        <f t="shared" ref="E30:E35" si="4">B30*D30</f>
        <v>4.75</v>
      </c>
    </row>
    <row r="31" spans="1:12" x14ac:dyDescent="0.25">
      <c r="A31" s="3" t="s">
        <v>84</v>
      </c>
      <c r="B31" s="1">
        <v>1</v>
      </c>
      <c r="C31" s="1" t="s">
        <v>4</v>
      </c>
      <c r="D31" s="4">
        <v>0.27</v>
      </c>
      <c r="E31" s="4">
        <f t="shared" si="4"/>
        <v>0.27</v>
      </c>
    </row>
    <row r="32" spans="1:12" x14ac:dyDescent="0.25">
      <c r="A32" s="3" t="s">
        <v>11</v>
      </c>
      <c r="B32" s="1">
        <v>10</v>
      </c>
      <c r="C32" s="1" t="s">
        <v>10</v>
      </c>
      <c r="D32" s="4">
        <v>0.04</v>
      </c>
      <c r="E32" s="4">
        <f t="shared" si="4"/>
        <v>0.4</v>
      </c>
    </row>
    <row r="33" spans="1:6" x14ac:dyDescent="0.25">
      <c r="A33" s="3" t="s">
        <v>18</v>
      </c>
      <c r="B33" s="1">
        <v>1</v>
      </c>
      <c r="C33" s="1" t="s">
        <v>4</v>
      </c>
      <c r="D33" s="4">
        <v>0.69</v>
      </c>
      <c r="E33" s="4">
        <f t="shared" si="4"/>
        <v>0.69</v>
      </c>
    </row>
    <row r="34" spans="1:6" x14ac:dyDescent="0.25">
      <c r="A34" s="31" t="s">
        <v>153</v>
      </c>
      <c r="B34" s="6">
        <v>0.6</v>
      </c>
      <c r="C34" s="6" t="s">
        <v>45</v>
      </c>
      <c r="D34" s="4">
        <v>0.32</v>
      </c>
      <c r="E34" s="4">
        <f t="shared" si="4"/>
        <v>0.192</v>
      </c>
    </row>
    <row r="35" spans="1:6" x14ac:dyDescent="0.25">
      <c r="A35" s="3" t="s">
        <v>85</v>
      </c>
      <c r="B35" s="1">
        <v>1</v>
      </c>
      <c r="C35" s="1" t="s">
        <v>86</v>
      </c>
      <c r="D35" s="4">
        <v>0.38</v>
      </c>
      <c r="E35" s="4">
        <f t="shared" si="4"/>
        <v>0.38</v>
      </c>
    </row>
    <row r="36" spans="1:6" ht="18.75" x14ac:dyDescent="0.25">
      <c r="A36" s="46" t="s">
        <v>12</v>
      </c>
      <c r="B36" s="47"/>
      <c r="C36" s="47"/>
      <c r="D36" s="48"/>
      <c r="E36" s="11">
        <f>SUM(E27:E35)</f>
        <v>36.162000000000006</v>
      </c>
    </row>
    <row r="37" spans="1:6" ht="18.75" x14ac:dyDescent="0.25">
      <c r="A37" s="10"/>
      <c r="B37" s="10"/>
      <c r="C37" s="10"/>
      <c r="D37" s="11"/>
      <c r="E37" s="11"/>
    </row>
    <row r="38" spans="1:6" x14ac:dyDescent="0.25">
      <c r="A38" s="3"/>
      <c r="B38" s="3"/>
      <c r="C38" s="1"/>
      <c r="D38" s="4"/>
      <c r="E38" s="4"/>
    </row>
    <row r="39" spans="1:6" x14ac:dyDescent="0.25">
      <c r="A39" s="3" t="s">
        <v>40</v>
      </c>
      <c r="B39" s="3">
        <v>1</v>
      </c>
      <c r="C39" s="1" t="s">
        <v>13</v>
      </c>
      <c r="D39" s="4">
        <v>15</v>
      </c>
      <c r="E39" s="4">
        <v>15</v>
      </c>
    </row>
    <row r="40" spans="1:6" x14ac:dyDescent="0.25">
      <c r="A40" s="3"/>
      <c r="B40" s="3"/>
      <c r="C40" s="1"/>
      <c r="D40" s="4"/>
      <c r="E40" s="4"/>
    </row>
    <row r="41" spans="1:6" ht="18.75" x14ac:dyDescent="0.25">
      <c r="A41" s="46" t="s">
        <v>15</v>
      </c>
      <c r="B41" s="47"/>
      <c r="C41" s="47"/>
      <c r="D41" s="48"/>
      <c r="E41" s="11">
        <f>SUM(E38:E40)</f>
        <v>15</v>
      </c>
    </row>
    <row r="42" spans="1:6" ht="15.75" x14ac:dyDescent="0.25">
      <c r="A42" s="49" t="s">
        <v>41</v>
      </c>
      <c r="B42" s="50"/>
      <c r="C42" s="50"/>
      <c r="D42" s="51"/>
      <c r="E42" s="13">
        <f>SUM(E41,E36)*61%</f>
        <v>31.208820000000003</v>
      </c>
    </row>
    <row r="43" spans="1:6" ht="18.75" x14ac:dyDescent="0.25">
      <c r="A43" s="46" t="s">
        <v>14</v>
      </c>
      <c r="B43" s="47"/>
      <c r="C43" s="47"/>
      <c r="D43" s="48"/>
      <c r="E43" s="11">
        <f>SUM(E42,E41,E36)</f>
        <v>82.370820000000009</v>
      </c>
    </row>
    <row r="44" spans="1:6" ht="15.75" x14ac:dyDescent="0.25">
      <c r="A44" s="52" t="s">
        <v>16</v>
      </c>
      <c r="B44" s="53"/>
      <c r="C44" s="53"/>
      <c r="D44" s="54"/>
      <c r="E44" s="25">
        <f>(E45-E43)/E43</f>
        <v>-1</v>
      </c>
    </row>
    <row r="45" spans="1:6" ht="18.75" x14ac:dyDescent="0.25">
      <c r="A45" s="44" t="s">
        <v>17</v>
      </c>
      <c r="B45" s="44"/>
      <c r="C45" s="44"/>
      <c r="D45" s="44"/>
      <c r="E45" s="11">
        <v>0</v>
      </c>
      <c r="F45" s="24"/>
    </row>
    <row r="46" spans="1:6" ht="9" customHeight="1" x14ac:dyDescent="0.25"/>
    <row r="47" spans="1:6" x14ac:dyDescent="0.25">
      <c r="A47" s="27" t="s">
        <v>89</v>
      </c>
      <c r="B47" s="28"/>
      <c r="C47" s="28"/>
      <c r="D47" s="35"/>
    </row>
    <row r="48" spans="1:6" x14ac:dyDescent="0.25">
      <c r="A48" s="33" t="s">
        <v>88</v>
      </c>
      <c r="B48" s="34"/>
    </row>
  </sheetData>
  <mergeCells count="21">
    <mergeCell ref="A43:D43"/>
    <mergeCell ref="A44:D44"/>
    <mergeCell ref="A45:D45"/>
    <mergeCell ref="A21:D21"/>
    <mergeCell ref="G21:J21"/>
    <mergeCell ref="A24:E25"/>
    <mergeCell ref="A36:D36"/>
    <mergeCell ref="A41:D41"/>
    <mergeCell ref="A42:D42"/>
    <mergeCell ref="A18:D18"/>
    <mergeCell ref="G18:J18"/>
    <mergeCell ref="A19:D19"/>
    <mergeCell ref="G19:J19"/>
    <mergeCell ref="A20:D20"/>
    <mergeCell ref="G20:J20"/>
    <mergeCell ref="A1:E2"/>
    <mergeCell ref="G1:K2"/>
    <mergeCell ref="A12:D12"/>
    <mergeCell ref="G12:J12"/>
    <mergeCell ref="A17:D17"/>
    <mergeCell ref="G17:J1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3"/>
  <sheetViews>
    <sheetView workbookViewId="0">
      <selection activeCell="E10" sqref="E10"/>
    </sheetView>
  </sheetViews>
  <sheetFormatPr defaultRowHeight="15" x14ac:dyDescent="0.25"/>
  <cols>
    <col min="1" max="1" width="24.85546875" bestFit="1" customWidth="1"/>
    <col min="2" max="2" width="11.42578125" bestFit="1" customWidth="1"/>
    <col min="3" max="3" width="8.5703125" bestFit="1" customWidth="1"/>
    <col min="4" max="4" width="13.85546875" bestFit="1" customWidth="1"/>
    <col min="5" max="5" width="14.5703125" bestFit="1" customWidth="1"/>
  </cols>
  <sheetData>
    <row r="1" spans="1:5" ht="15" customHeight="1" x14ac:dyDescent="0.25">
      <c r="A1" s="45" t="s">
        <v>35</v>
      </c>
      <c r="B1" s="45"/>
      <c r="C1" s="45"/>
      <c r="D1" s="45"/>
      <c r="E1" s="45"/>
    </row>
    <row r="2" spans="1:5" ht="15" customHeight="1" x14ac:dyDescent="0.25">
      <c r="A2" s="45"/>
      <c r="B2" s="45"/>
      <c r="C2" s="45"/>
      <c r="D2" s="45"/>
      <c r="E2" s="45"/>
    </row>
    <row r="3" spans="1:5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</row>
    <row r="4" spans="1:5" x14ac:dyDescent="0.25">
      <c r="A4" s="31" t="s">
        <v>8</v>
      </c>
      <c r="B4" s="6">
        <v>2</v>
      </c>
      <c r="C4" s="6" t="s">
        <v>10</v>
      </c>
      <c r="D4" s="7">
        <v>14.26</v>
      </c>
      <c r="E4" s="7">
        <f t="shared" ref="E4:E11" si="0">B4*D4</f>
        <v>28.52</v>
      </c>
    </row>
    <row r="5" spans="1:5" x14ac:dyDescent="0.25">
      <c r="A5" s="31" t="s">
        <v>49</v>
      </c>
      <c r="B5" s="6">
        <v>8</v>
      </c>
      <c r="C5" s="6" t="s">
        <v>4</v>
      </c>
      <c r="D5" s="7">
        <v>1.1499999999999999</v>
      </c>
      <c r="E5" s="7">
        <f t="shared" si="0"/>
        <v>9.1999999999999993</v>
      </c>
    </row>
    <row r="6" spans="1:5" x14ac:dyDescent="0.25">
      <c r="A6" s="3" t="s">
        <v>43</v>
      </c>
      <c r="B6" s="1">
        <v>1</v>
      </c>
      <c r="C6" s="1" t="s">
        <v>4</v>
      </c>
      <c r="D6" s="4">
        <v>4.75</v>
      </c>
      <c r="E6" s="4">
        <f t="shared" si="0"/>
        <v>4.75</v>
      </c>
    </row>
    <row r="7" spans="1:5" x14ac:dyDescent="0.25">
      <c r="A7" s="5" t="s">
        <v>36</v>
      </c>
      <c r="B7" s="6">
        <v>0.2</v>
      </c>
      <c r="C7" s="6" t="s">
        <v>10</v>
      </c>
      <c r="D7" s="7">
        <v>1.17</v>
      </c>
      <c r="E7" s="7">
        <f t="shared" si="0"/>
        <v>0.23399999999999999</v>
      </c>
    </row>
    <row r="8" spans="1:5" x14ac:dyDescent="0.25">
      <c r="A8" s="3" t="s">
        <v>84</v>
      </c>
      <c r="B8" s="1">
        <v>1</v>
      </c>
      <c r="C8" s="1" t="s">
        <v>4</v>
      </c>
      <c r="D8" s="4">
        <v>0.27</v>
      </c>
      <c r="E8" s="4">
        <f t="shared" si="0"/>
        <v>0.27</v>
      </c>
    </row>
    <row r="9" spans="1:5" x14ac:dyDescent="0.25">
      <c r="A9" s="5" t="s">
        <v>11</v>
      </c>
      <c r="B9" s="6">
        <v>10</v>
      </c>
      <c r="C9" s="6" t="s">
        <v>10</v>
      </c>
      <c r="D9" s="7">
        <v>0.04</v>
      </c>
      <c r="E9" s="7">
        <f t="shared" si="0"/>
        <v>0.4</v>
      </c>
    </row>
    <row r="10" spans="1:5" x14ac:dyDescent="0.25">
      <c r="A10" s="5" t="s">
        <v>18</v>
      </c>
      <c r="B10" s="6">
        <v>1</v>
      </c>
      <c r="C10" s="6" t="s">
        <v>4</v>
      </c>
      <c r="D10" s="7">
        <v>0.36</v>
      </c>
      <c r="E10" s="7">
        <f t="shared" si="0"/>
        <v>0.36</v>
      </c>
    </row>
    <row r="11" spans="1:5" x14ac:dyDescent="0.25">
      <c r="A11" s="3" t="s">
        <v>85</v>
      </c>
      <c r="B11" s="1">
        <v>1</v>
      </c>
      <c r="C11" s="1" t="s">
        <v>86</v>
      </c>
      <c r="D11" s="4">
        <v>0.36</v>
      </c>
      <c r="E11" s="4">
        <f t="shared" si="0"/>
        <v>0.36</v>
      </c>
    </row>
    <row r="12" spans="1:5" ht="30" customHeight="1" x14ac:dyDescent="0.25">
      <c r="A12" s="46" t="s">
        <v>12</v>
      </c>
      <c r="B12" s="47"/>
      <c r="C12" s="47"/>
      <c r="D12" s="48"/>
      <c r="E12" s="11">
        <f>SUM(E4:E11)</f>
        <v>44.094000000000001</v>
      </c>
    </row>
    <row r="13" spans="1:5" x14ac:dyDescent="0.25">
      <c r="A13" s="3"/>
      <c r="B13" s="3"/>
      <c r="C13" s="1"/>
      <c r="D13" s="4"/>
      <c r="E13" s="4"/>
    </row>
    <row r="14" spans="1:5" x14ac:dyDescent="0.25">
      <c r="A14" s="3" t="s">
        <v>40</v>
      </c>
      <c r="B14" s="3">
        <v>1</v>
      </c>
      <c r="C14" s="1" t="s">
        <v>13</v>
      </c>
      <c r="D14" s="4">
        <v>17</v>
      </c>
      <c r="E14" s="4">
        <v>17</v>
      </c>
    </row>
    <row r="15" spans="1:5" x14ac:dyDescent="0.25">
      <c r="A15" s="3"/>
      <c r="B15" s="3"/>
      <c r="C15" s="1"/>
      <c r="D15" s="4"/>
      <c r="E15" s="4"/>
    </row>
    <row r="16" spans="1:5" x14ac:dyDescent="0.25">
      <c r="A16" s="3"/>
      <c r="B16" s="3"/>
      <c r="C16" s="1"/>
      <c r="D16" s="4"/>
      <c r="E16" s="4"/>
    </row>
    <row r="17" spans="1:6" ht="30" customHeight="1" x14ac:dyDescent="0.25">
      <c r="A17" s="46" t="s">
        <v>15</v>
      </c>
      <c r="B17" s="47"/>
      <c r="C17" s="47"/>
      <c r="D17" s="48"/>
      <c r="E17" s="11">
        <f>SUM(E13:E16)</f>
        <v>17</v>
      </c>
    </row>
    <row r="18" spans="1:6" ht="15.75" x14ac:dyDescent="0.25">
      <c r="A18" s="49" t="s">
        <v>41</v>
      </c>
      <c r="B18" s="50"/>
      <c r="C18" s="50"/>
      <c r="D18" s="51"/>
      <c r="E18" s="13">
        <f>SUM(E17,E12)*61%</f>
        <v>37.267339999999997</v>
      </c>
    </row>
    <row r="19" spans="1:6" ht="30" customHeight="1" x14ac:dyDescent="0.25">
      <c r="A19" s="46" t="s">
        <v>14</v>
      </c>
      <c r="B19" s="47"/>
      <c r="C19" s="47"/>
      <c r="D19" s="48"/>
      <c r="E19" s="11">
        <f>E12+E17+E18</f>
        <v>98.361339999999998</v>
      </c>
    </row>
    <row r="20" spans="1:6" ht="15.75" x14ac:dyDescent="0.25">
      <c r="A20" s="52" t="s">
        <v>16</v>
      </c>
      <c r="B20" s="53"/>
      <c r="C20" s="53"/>
      <c r="D20" s="54"/>
      <c r="E20" s="12">
        <f>(E21-E19)/E19</f>
        <v>3.2699702952399798</v>
      </c>
    </row>
    <row r="21" spans="1:6" ht="30" customHeight="1" x14ac:dyDescent="0.25">
      <c r="A21" s="46" t="s">
        <v>17</v>
      </c>
      <c r="B21" s="47"/>
      <c r="C21" s="47"/>
      <c r="D21" s="48"/>
      <c r="E21" s="11">
        <v>420</v>
      </c>
      <c r="F21" s="24"/>
    </row>
    <row r="23" spans="1:6" x14ac:dyDescent="0.25">
      <c r="A23" s="3" t="s">
        <v>88</v>
      </c>
      <c r="B23" s="31"/>
    </row>
  </sheetData>
  <sortState xmlns:xlrd2="http://schemas.microsoft.com/office/spreadsheetml/2017/richdata2" ref="A5:E11">
    <sortCondition ref="A5"/>
  </sortState>
  <mergeCells count="7">
    <mergeCell ref="A1:E2"/>
    <mergeCell ref="A21:D21"/>
    <mergeCell ref="A12:D12"/>
    <mergeCell ref="A17:D17"/>
    <mergeCell ref="A18:D18"/>
    <mergeCell ref="A19:D19"/>
    <mergeCell ref="A20:D20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3"/>
  <sheetViews>
    <sheetView workbookViewId="0">
      <selection activeCell="H19" sqref="H19"/>
    </sheetView>
  </sheetViews>
  <sheetFormatPr defaultRowHeight="15" x14ac:dyDescent="0.25"/>
  <cols>
    <col min="1" max="1" width="24.85546875" bestFit="1" customWidth="1"/>
    <col min="2" max="2" width="11.42578125" bestFit="1" customWidth="1"/>
    <col min="3" max="3" width="8.5703125" bestFit="1" customWidth="1"/>
    <col min="4" max="4" width="13.85546875" bestFit="1" customWidth="1"/>
    <col min="5" max="5" width="14.5703125" bestFit="1" customWidth="1"/>
  </cols>
  <sheetData>
    <row r="1" spans="1:5" x14ac:dyDescent="0.25">
      <c r="A1" s="45" t="s">
        <v>44</v>
      </c>
      <c r="B1" s="45"/>
      <c r="C1" s="45"/>
      <c r="D1" s="45"/>
      <c r="E1" s="45"/>
    </row>
    <row r="2" spans="1:5" x14ac:dyDescent="0.25">
      <c r="A2" s="45"/>
      <c r="B2" s="45"/>
      <c r="C2" s="45"/>
      <c r="D2" s="45"/>
      <c r="E2" s="45"/>
    </row>
    <row r="3" spans="1:5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</row>
    <row r="4" spans="1:5" x14ac:dyDescent="0.25">
      <c r="A4" s="31" t="s">
        <v>8</v>
      </c>
      <c r="B4" s="6">
        <v>2</v>
      </c>
      <c r="C4" s="6" t="s">
        <v>10</v>
      </c>
      <c r="D4" s="7">
        <v>14.26</v>
      </c>
      <c r="E4" s="7">
        <f t="shared" ref="E4:E11" si="0">B4*D4</f>
        <v>28.52</v>
      </c>
    </row>
    <row r="5" spans="1:5" x14ac:dyDescent="0.25">
      <c r="A5" s="31" t="s">
        <v>26</v>
      </c>
      <c r="B5" s="6">
        <v>4</v>
      </c>
      <c r="C5" s="6" t="s">
        <v>4</v>
      </c>
      <c r="D5" s="7">
        <v>0.64</v>
      </c>
      <c r="E5" s="7">
        <f t="shared" si="0"/>
        <v>2.56</v>
      </c>
    </row>
    <row r="6" spans="1:5" x14ac:dyDescent="0.25">
      <c r="A6" s="3" t="s">
        <v>43</v>
      </c>
      <c r="B6" s="1">
        <v>1</v>
      </c>
      <c r="C6" s="1" t="s">
        <v>4</v>
      </c>
      <c r="D6" s="4">
        <v>4.75</v>
      </c>
      <c r="E6" s="4">
        <f t="shared" si="0"/>
        <v>4.75</v>
      </c>
    </row>
    <row r="7" spans="1:5" x14ac:dyDescent="0.25">
      <c r="A7" s="3" t="s">
        <v>84</v>
      </c>
      <c r="B7" s="1">
        <v>1</v>
      </c>
      <c r="C7" s="1" t="s">
        <v>4</v>
      </c>
      <c r="D7" s="4">
        <v>0.27</v>
      </c>
      <c r="E7" s="4">
        <f t="shared" si="0"/>
        <v>0.27</v>
      </c>
    </row>
    <row r="8" spans="1:5" x14ac:dyDescent="0.25">
      <c r="A8" s="5" t="s">
        <v>11</v>
      </c>
      <c r="B8" s="6">
        <v>10</v>
      </c>
      <c r="C8" s="6" t="s">
        <v>10</v>
      </c>
      <c r="D8" s="7">
        <v>0.04</v>
      </c>
      <c r="E8" s="7">
        <f t="shared" si="0"/>
        <v>0.4</v>
      </c>
    </row>
    <row r="9" spans="1:5" x14ac:dyDescent="0.25">
      <c r="A9" s="31" t="s">
        <v>1</v>
      </c>
      <c r="B9" s="6">
        <v>2</v>
      </c>
      <c r="C9" s="6" t="s">
        <v>4</v>
      </c>
      <c r="D9" s="7">
        <v>2.7</v>
      </c>
      <c r="E9" s="7">
        <f t="shared" si="0"/>
        <v>5.4</v>
      </c>
    </row>
    <row r="10" spans="1:5" x14ac:dyDescent="0.25">
      <c r="A10" s="5" t="s">
        <v>18</v>
      </c>
      <c r="B10" s="6">
        <v>1</v>
      </c>
      <c r="C10" s="6" t="s">
        <v>4</v>
      </c>
      <c r="D10" s="7">
        <v>0.69</v>
      </c>
      <c r="E10" s="7">
        <f t="shared" si="0"/>
        <v>0.69</v>
      </c>
    </row>
    <row r="11" spans="1:5" x14ac:dyDescent="0.25">
      <c r="A11" s="3" t="s">
        <v>85</v>
      </c>
      <c r="B11" s="1">
        <v>1</v>
      </c>
      <c r="C11" s="1" t="s">
        <v>86</v>
      </c>
      <c r="D11" s="4">
        <v>0.36</v>
      </c>
      <c r="E11" s="4">
        <f t="shared" si="0"/>
        <v>0.36</v>
      </c>
    </row>
    <row r="12" spans="1:5" ht="30" customHeight="1" x14ac:dyDescent="0.25">
      <c r="A12" s="46" t="s">
        <v>12</v>
      </c>
      <c r="B12" s="47"/>
      <c r="C12" s="47"/>
      <c r="D12" s="48"/>
      <c r="E12" s="17">
        <f>SUM(E4:E11)</f>
        <v>42.949999999999996</v>
      </c>
    </row>
    <row r="13" spans="1:5" ht="13.5" customHeight="1" x14ac:dyDescent="0.25">
      <c r="A13" s="19"/>
      <c r="B13" s="20"/>
      <c r="C13" s="20"/>
      <c r="D13" s="21"/>
      <c r="E13" s="17"/>
    </row>
    <row r="14" spans="1:5" x14ac:dyDescent="0.25">
      <c r="A14" s="3"/>
      <c r="B14" s="3"/>
      <c r="C14" s="1"/>
      <c r="D14" s="4"/>
      <c r="E14" s="4"/>
    </row>
    <row r="15" spans="1:5" x14ac:dyDescent="0.25">
      <c r="A15" s="3" t="s">
        <v>40</v>
      </c>
      <c r="B15" s="3">
        <v>1</v>
      </c>
      <c r="C15" s="1" t="s">
        <v>13</v>
      </c>
      <c r="D15" s="4">
        <v>17</v>
      </c>
      <c r="E15" s="4">
        <v>17</v>
      </c>
    </row>
    <row r="16" spans="1:5" x14ac:dyDescent="0.25">
      <c r="A16" s="3"/>
      <c r="B16" s="3"/>
      <c r="C16" s="1"/>
      <c r="D16" s="4"/>
      <c r="E16" s="4"/>
    </row>
    <row r="17" spans="1:6" ht="30" customHeight="1" x14ac:dyDescent="0.25">
      <c r="A17" s="44" t="s">
        <v>15</v>
      </c>
      <c r="B17" s="44"/>
      <c r="C17" s="44"/>
      <c r="D17" s="44"/>
      <c r="E17" s="11">
        <f>SUM(E14:E16)</f>
        <v>17</v>
      </c>
    </row>
    <row r="18" spans="1:6" ht="15.75" x14ac:dyDescent="0.25">
      <c r="A18" s="49" t="s">
        <v>41</v>
      </c>
      <c r="B18" s="50"/>
      <c r="C18" s="50"/>
      <c r="D18" s="51"/>
      <c r="E18" s="13">
        <f>SUM(E17,E12)*61%</f>
        <v>36.569499999999998</v>
      </c>
    </row>
    <row r="19" spans="1:6" ht="30" customHeight="1" x14ac:dyDescent="0.25">
      <c r="A19" s="44" t="s">
        <v>14</v>
      </c>
      <c r="B19" s="44"/>
      <c r="C19" s="44"/>
      <c r="D19" s="44"/>
      <c r="E19" s="11">
        <f>E12+E17+E18</f>
        <v>96.519499999999994</v>
      </c>
    </row>
    <row r="20" spans="1:6" ht="15.75" x14ac:dyDescent="0.25">
      <c r="A20" s="55" t="s">
        <v>16</v>
      </c>
      <c r="B20" s="55"/>
      <c r="C20" s="55"/>
      <c r="D20" s="55"/>
      <c r="E20" s="12">
        <f>(E21-E19)/E19</f>
        <v>2.4189982335175797</v>
      </c>
    </row>
    <row r="21" spans="1:6" ht="30" customHeight="1" x14ac:dyDescent="0.25">
      <c r="A21" s="44" t="s">
        <v>17</v>
      </c>
      <c r="B21" s="44"/>
      <c r="C21" s="44"/>
      <c r="D21" s="44"/>
      <c r="E21" s="11">
        <v>330</v>
      </c>
      <c r="F21" s="24"/>
    </row>
    <row r="23" spans="1:6" x14ac:dyDescent="0.25">
      <c r="A23" s="3" t="s">
        <v>88</v>
      </c>
      <c r="B23" s="31"/>
    </row>
  </sheetData>
  <sortState xmlns:xlrd2="http://schemas.microsoft.com/office/spreadsheetml/2017/richdata2" ref="A5:E11">
    <sortCondition ref="A5"/>
  </sortState>
  <mergeCells count="7">
    <mergeCell ref="A21:D21"/>
    <mergeCell ref="A1:E2"/>
    <mergeCell ref="A17:D17"/>
    <mergeCell ref="A18:D18"/>
    <mergeCell ref="A19:D19"/>
    <mergeCell ref="A20:D20"/>
    <mergeCell ref="A12:D1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3"/>
  <sheetViews>
    <sheetView workbookViewId="0">
      <selection activeCell="F12" sqref="F12"/>
    </sheetView>
  </sheetViews>
  <sheetFormatPr defaultRowHeight="15" x14ac:dyDescent="0.25"/>
  <cols>
    <col min="1" max="1" width="29.7109375" customWidth="1"/>
    <col min="2" max="2" width="11.42578125" bestFit="1" customWidth="1"/>
    <col min="4" max="4" width="16.140625" customWidth="1"/>
    <col min="5" max="5" width="35.140625" customWidth="1"/>
  </cols>
  <sheetData>
    <row r="1" spans="1:5" x14ac:dyDescent="0.25">
      <c r="A1" s="45" t="s">
        <v>126</v>
      </c>
      <c r="B1" s="45"/>
      <c r="C1" s="45"/>
      <c r="D1" s="45"/>
      <c r="E1" s="45"/>
    </row>
    <row r="2" spans="1:5" x14ac:dyDescent="0.25">
      <c r="A2" s="45"/>
      <c r="B2" s="45"/>
      <c r="C2" s="45"/>
      <c r="D2" s="45"/>
      <c r="E2" s="45"/>
    </row>
    <row r="3" spans="1:5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</row>
    <row r="4" spans="1:5" x14ac:dyDescent="0.25">
      <c r="A4" s="31" t="s">
        <v>127</v>
      </c>
      <c r="B4" s="6">
        <v>3</v>
      </c>
      <c r="C4" s="6" t="s">
        <v>10</v>
      </c>
      <c r="D4" s="7">
        <v>10.08</v>
      </c>
      <c r="E4" s="7">
        <f t="shared" ref="E4:E8" si="0">B4*D4</f>
        <v>30.240000000000002</v>
      </c>
    </row>
    <row r="5" spans="1:5" x14ac:dyDescent="0.25">
      <c r="A5" s="3" t="s">
        <v>43</v>
      </c>
      <c r="B5" s="1">
        <v>1</v>
      </c>
      <c r="C5" s="1" t="s">
        <v>4</v>
      </c>
      <c r="D5" s="4">
        <v>4.75</v>
      </c>
      <c r="E5" s="4">
        <f t="shared" si="0"/>
        <v>4.75</v>
      </c>
    </row>
    <row r="6" spans="1:5" x14ac:dyDescent="0.25">
      <c r="A6" s="3" t="s">
        <v>84</v>
      </c>
      <c r="B6" s="1">
        <v>1</v>
      </c>
      <c r="C6" s="1" t="s">
        <v>4</v>
      </c>
      <c r="D6" s="4">
        <v>0.27</v>
      </c>
      <c r="E6" s="4">
        <f t="shared" si="0"/>
        <v>0.27</v>
      </c>
    </row>
    <row r="7" spans="1:5" x14ac:dyDescent="0.25">
      <c r="A7" s="5" t="s">
        <v>11</v>
      </c>
      <c r="B7" s="6">
        <v>10</v>
      </c>
      <c r="C7" s="6" t="s">
        <v>10</v>
      </c>
      <c r="D7" s="7">
        <v>0.04</v>
      </c>
      <c r="E7" s="7">
        <f t="shared" si="0"/>
        <v>0.4</v>
      </c>
    </row>
    <row r="8" spans="1:5" x14ac:dyDescent="0.25">
      <c r="A8" s="5" t="s">
        <v>18</v>
      </c>
      <c r="B8" s="6">
        <v>1</v>
      </c>
      <c r="C8" s="6" t="s">
        <v>4</v>
      </c>
      <c r="D8" s="7">
        <v>0.69</v>
      </c>
      <c r="E8" s="7">
        <f t="shared" si="0"/>
        <v>0.69</v>
      </c>
    </row>
    <row r="9" spans="1:5" x14ac:dyDescent="0.25">
      <c r="A9" s="3" t="s">
        <v>85</v>
      </c>
      <c r="B9" s="1">
        <v>1</v>
      </c>
      <c r="C9" s="1" t="s">
        <v>86</v>
      </c>
      <c r="D9" s="4">
        <v>0.36</v>
      </c>
      <c r="E9" s="4">
        <f>B9*D9</f>
        <v>0.36</v>
      </c>
    </row>
    <row r="10" spans="1:5" ht="18.75" x14ac:dyDescent="0.25">
      <c r="A10" s="46" t="s">
        <v>12</v>
      </c>
      <c r="B10" s="47"/>
      <c r="C10" s="47"/>
      <c r="D10" s="48"/>
      <c r="E10" s="11">
        <f>SUM(E4:E9)</f>
        <v>36.71</v>
      </c>
    </row>
    <row r="11" spans="1:5" x14ac:dyDescent="0.25">
      <c r="A11" s="3"/>
      <c r="B11" s="3"/>
      <c r="C11" s="1"/>
      <c r="D11" s="4"/>
      <c r="E11" s="4">
        <f>B11*D11</f>
        <v>0</v>
      </c>
    </row>
    <row r="12" spans="1:5" x14ac:dyDescent="0.25">
      <c r="A12" s="3" t="s">
        <v>40</v>
      </c>
      <c r="B12" s="3">
        <v>1</v>
      </c>
      <c r="C12" s="1" t="s">
        <v>13</v>
      </c>
      <c r="D12" s="4">
        <v>17</v>
      </c>
      <c r="E12" s="4">
        <v>17</v>
      </c>
    </row>
    <row r="13" spans="1:5" x14ac:dyDescent="0.25">
      <c r="A13" s="3"/>
      <c r="B13" s="3"/>
      <c r="C13" s="1"/>
      <c r="D13" s="4"/>
      <c r="E13" s="4"/>
    </row>
    <row r="14" spans="1:5" x14ac:dyDescent="0.25">
      <c r="A14" s="3"/>
      <c r="B14" s="3"/>
      <c r="C14" s="1"/>
      <c r="D14" s="4"/>
      <c r="E14" s="4">
        <f t="shared" ref="E14" si="1">B14*D14</f>
        <v>0</v>
      </c>
    </row>
    <row r="15" spans="1:5" ht="18.75" x14ac:dyDescent="0.25">
      <c r="A15" s="44" t="s">
        <v>15</v>
      </c>
      <c r="B15" s="44"/>
      <c r="C15" s="44"/>
      <c r="D15" s="44"/>
      <c r="E15" s="11">
        <f>SUM(E11:E14)</f>
        <v>17</v>
      </c>
    </row>
    <row r="16" spans="1:5" ht="15.75" x14ac:dyDescent="0.25">
      <c r="A16" s="49" t="s">
        <v>41</v>
      </c>
      <c r="B16" s="50"/>
      <c r="C16" s="50"/>
      <c r="D16" s="51"/>
      <c r="E16" s="13">
        <f>SUM(E15,E10)*61%</f>
        <v>32.763100000000001</v>
      </c>
    </row>
    <row r="17" spans="1:5" ht="18.75" x14ac:dyDescent="0.25">
      <c r="A17" s="44" t="s">
        <v>14</v>
      </c>
      <c r="B17" s="44"/>
      <c r="C17" s="44"/>
      <c r="D17" s="44"/>
      <c r="E17" s="11">
        <f>E10+E15+E16</f>
        <v>86.473100000000002</v>
      </c>
    </row>
    <row r="18" spans="1:5" ht="15.75" x14ac:dyDescent="0.25">
      <c r="A18" s="55" t="s">
        <v>16</v>
      </c>
      <c r="B18" s="55"/>
      <c r="C18" s="55"/>
      <c r="D18" s="55"/>
      <c r="E18" s="12">
        <f>(E19-E17)/E17</f>
        <v>-1</v>
      </c>
    </row>
    <row r="19" spans="1:5" ht="18.75" x14ac:dyDescent="0.25">
      <c r="A19" s="44" t="s">
        <v>17</v>
      </c>
      <c r="B19" s="44"/>
      <c r="C19" s="44"/>
      <c r="D19" s="44"/>
      <c r="E19" s="11"/>
    </row>
    <row r="21" spans="1:5" x14ac:dyDescent="0.25">
      <c r="A21" s="3" t="s">
        <v>128</v>
      </c>
      <c r="B21" s="31"/>
    </row>
    <row r="23" spans="1:5" x14ac:dyDescent="0.25">
      <c r="A23" t="s">
        <v>121</v>
      </c>
    </row>
  </sheetData>
  <mergeCells count="7">
    <mergeCell ref="A19:D19"/>
    <mergeCell ref="A1:E2"/>
    <mergeCell ref="A10:D10"/>
    <mergeCell ref="A15:D15"/>
    <mergeCell ref="A16:D16"/>
    <mergeCell ref="A17:D17"/>
    <mergeCell ref="A18:D18"/>
  </mergeCells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G23"/>
  <sheetViews>
    <sheetView workbookViewId="0">
      <selection activeCell="G21" sqref="G21"/>
    </sheetView>
  </sheetViews>
  <sheetFormatPr defaultRowHeight="15" x14ac:dyDescent="0.25"/>
  <cols>
    <col min="1" max="1" width="24.85546875" bestFit="1" customWidth="1"/>
    <col min="2" max="2" width="11.42578125" bestFit="1" customWidth="1"/>
    <col min="3" max="3" width="8.5703125" bestFit="1" customWidth="1"/>
    <col min="4" max="4" width="13.85546875" bestFit="1" customWidth="1"/>
    <col min="5" max="5" width="18.140625" bestFit="1" customWidth="1"/>
    <col min="6" max="6" width="9.5703125" bestFit="1" customWidth="1"/>
    <col min="7" max="7" width="15.7109375" customWidth="1"/>
  </cols>
  <sheetData>
    <row r="1" spans="1:5" x14ac:dyDescent="0.25">
      <c r="A1" s="45" t="s">
        <v>2</v>
      </c>
      <c r="B1" s="45"/>
      <c r="C1" s="45"/>
      <c r="D1" s="45"/>
      <c r="E1" s="45"/>
    </row>
    <row r="2" spans="1:5" x14ac:dyDescent="0.25">
      <c r="A2" s="45"/>
      <c r="B2" s="45"/>
      <c r="C2" s="45"/>
      <c r="D2" s="45"/>
      <c r="E2" s="45"/>
    </row>
    <row r="3" spans="1:5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</row>
    <row r="4" spans="1:5" x14ac:dyDescent="0.25">
      <c r="A4" s="31" t="s">
        <v>8</v>
      </c>
      <c r="B4" s="1">
        <v>2</v>
      </c>
      <c r="C4" s="1" t="s">
        <v>10</v>
      </c>
      <c r="D4" s="7">
        <v>14.26</v>
      </c>
      <c r="E4" s="4">
        <f t="shared" ref="E4:E11" si="0">B4*D4</f>
        <v>28.52</v>
      </c>
    </row>
    <row r="5" spans="1:5" x14ac:dyDescent="0.25">
      <c r="A5" s="3" t="s">
        <v>43</v>
      </c>
      <c r="B5" s="1">
        <v>1</v>
      </c>
      <c r="C5" s="1" t="s">
        <v>4</v>
      </c>
      <c r="D5" s="4">
        <v>4.75</v>
      </c>
      <c r="E5" s="4">
        <f t="shared" si="0"/>
        <v>4.75</v>
      </c>
    </row>
    <row r="6" spans="1:5" x14ac:dyDescent="0.25">
      <c r="A6" s="3" t="s">
        <v>84</v>
      </c>
      <c r="B6" s="1">
        <v>1</v>
      </c>
      <c r="C6" s="1" t="s">
        <v>4</v>
      </c>
      <c r="D6" s="4">
        <v>0.27</v>
      </c>
      <c r="E6" s="4">
        <f t="shared" si="0"/>
        <v>0.27</v>
      </c>
    </row>
    <row r="7" spans="1:5" x14ac:dyDescent="0.25">
      <c r="A7" s="31" t="s">
        <v>0</v>
      </c>
      <c r="B7" s="1">
        <v>1</v>
      </c>
      <c r="C7" s="1" t="s">
        <v>4</v>
      </c>
      <c r="D7" s="4">
        <v>5.5</v>
      </c>
      <c r="E7" s="4">
        <f t="shared" si="0"/>
        <v>5.5</v>
      </c>
    </row>
    <row r="8" spans="1:5" x14ac:dyDescent="0.25">
      <c r="A8" s="3" t="s">
        <v>9</v>
      </c>
      <c r="B8" s="1">
        <v>2</v>
      </c>
      <c r="C8" s="1" t="s">
        <v>4</v>
      </c>
      <c r="D8" s="4">
        <v>0.76</v>
      </c>
      <c r="E8" s="4">
        <f t="shared" si="0"/>
        <v>1.52</v>
      </c>
    </row>
    <row r="9" spans="1:5" x14ac:dyDescent="0.25">
      <c r="A9" s="3" t="s">
        <v>11</v>
      </c>
      <c r="B9" s="1">
        <v>10</v>
      </c>
      <c r="C9" s="1" t="s">
        <v>10</v>
      </c>
      <c r="D9" s="4">
        <v>0.04</v>
      </c>
      <c r="E9" s="4">
        <f t="shared" si="0"/>
        <v>0.4</v>
      </c>
    </row>
    <row r="10" spans="1:5" x14ac:dyDescent="0.25">
      <c r="A10" s="3" t="s">
        <v>18</v>
      </c>
      <c r="B10" s="1">
        <v>1</v>
      </c>
      <c r="C10" s="1" t="s">
        <v>4</v>
      </c>
      <c r="D10" s="4">
        <v>0.69</v>
      </c>
      <c r="E10" s="4">
        <f t="shared" si="0"/>
        <v>0.69</v>
      </c>
    </row>
    <row r="11" spans="1:5" x14ac:dyDescent="0.25">
      <c r="A11" s="3" t="s">
        <v>85</v>
      </c>
      <c r="B11" s="1">
        <v>1</v>
      </c>
      <c r="C11" s="1" t="s">
        <v>86</v>
      </c>
      <c r="D11" s="4">
        <v>0.36</v>
      </c>
      <c r="E11" s="4">
        <f t="shared" si="0"/>
        <v>0.36</v>
      </c>
    </row>
    <row r="12" spans="1:5" ht="30" customHeight="1" x14ac:dyDescent="0.25">
      <c r="A12" s="46" t="s">
        <v>12</v>
      </c>
      <c r="B12" s="47"/>
      <c r="C12" s="47"/>
      <c r="D12" s="48"/>
      <c r="E12" s="11">
        <f>SUM(E4:E11)</f>
        <v>42.01</v>
      </c>
    </row>
    <row r="13" spans="1:5" ht="15" customHeight="1" x14ac:dyDescent="0.25">
      <c r="A13" s="10"/>
      <c r="B13" s="10"/>
      <c r="C13" s="10"/>
      <c r="D13" s="11"/>
      <c r="E13" s="11"/>
    </row>
    <row r="14" spans="1:5" x14ac:dyDescent="0.25">
      <c r="A14" s="3"/>
      <c r="B14" s="3"/>
      <c r="C14" s="1"/>
      <c r="D14" s="4"/>
      <c r="E14" s="4"/>
    </row>
    <row r="15" spans="1:5" x14ac:dyDescent="0.25">
      <c r="A15" s="3" t="s">
        <v>40</v>
      </c>
      <c r="B15" s="3">
        <v>1</v>
      </c>
      <c r="C15" s="1" t="s">
        <v>13</v>
      </c>
      <c r="D15" s="4">
        <v>17</v>
      </c>
      <c r="E15" s="4">
        <v>17</v>
      </c>
    </row>
    <row r="16" spans="1:5" x14ac:dyDescent="0.25">
      <c r="A16" s="3"/>
      <c r="B16" s="3"/>
      <c r="C16" s="1"/>
      <c r="D16" s="4"/>
      <c r="E16" s="4"/>
    </row>
    <row r="17" spans="1:7" ht="30" customHeight="1" x14ac:dyDescent="0.25">
      <c r="A17" s="46" t="s">
        <v>15</v>
      </c>
      <c r="B17" s="47"/>
      <c r="C17" s="47"/>
      <c r="D17" s="48"/>
      <c r="E17" s="11">
        <f>SUM(E13:E16)</f>
        <v>17</v>
      </c>
    </row>
    <row r="18" spans="1:7" ht="15.75" x14ac:dyDescent="0.25">
      <c r="A18" s="49" t="s">
        <v>41</v>
      </c>
      <c r="B18" s="50"/>
      <c r="C18" s="50"/>
      <c r="D18" s="51"/>
      <c r="E18" s="13">
        <f>SUM(E17,E12)*61%</f>
        <v>35.996099999999998</v>
      </c>
      <c r="F18" s="23"/>
      <c r="G18" s="23"/>
    </row>
    <row r="19" spans="1:7" ht="30" customHeight="1" x14ac:dyDescent="0.25">
      <c r="A19" s="46" t="s">
        <v>14</v>
      </c>
      <c r="B19" s="47"/>
      <c r="C19" s="47"/>
      <c r="D19" s="48"/>
      <c r="E19" s="11">
        <f>SUM(E18,E17,E12)</f>
        <v>95.006100000000004</v>
      </c>
    </row>
    <row r="20" spans="1:7" ht="15.75" x14ac:dyDescent="0.25">
      <c r="A20" s="52" t="s">
        <v>16</v>
      </c>
      <c r="B20" s="53"/>
      <c r="C20" s="53"/>
      <c r="D20" s="54"/>
      <c r="E20" s="25">
        <f>(E21-E19)/E19</f>
        <v>2.0524355804522023</v>
      </c>
      <c r="G20" s="26"/>
    </row>
    <row r="21" spans="1:7" ht="30" customHeight="1" x14ac:dyDescent="0.25">
      <c r="A21" s="44" t="s">
        <v>17</v>
      </c>
      <c r="B21" s="44"/>
      <c r="C21" s="44"/>
      <c r="D21" s="44"/>
      <c r="E21" s="11">
        <v>290</v>
      </c>
      <c r="F21" s="24"/>
    </row>
    <row r="23" spans="1:7" x14ac:dyDescent="0.25">
      <c r="A23" s="3" t="s">
        <v>88</v>
      </c>
      <c r="B23" s="31"/>
    </row>
  </sheetData>
  <sortState xmlns:xlrd2="http://schemas.microsoft.com/office/spreadsheetml/2017/richdata2" ref="A5:E11">
    <sortCondition ref="A5"/>
  </sortState>
  <mergeCells count="7">
    <mergeCell ref="A1:E2"/>
    <mergeCell ref="A12:D12"/>
    <mergeCell ref="A17:D17"/>
    <mergeCell ref="A19:D19"/>
    <mergeCell ref="A21:D21"/>
    <mergeCell ref="A18:D18"/>
    <mergeCell ref="A20:D20"/>
  </mergeCells>
  <pageMargins left="0.511811024" right="0.511811024" top="0.78740157499999996" bottom="0.78740157499999996" header="0.31496062000000002" footer="0.31496062000000002"/>
  <pageSetup paperSize="9" fitToHeight="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23"/>
  <sheetViews>
    <sheetView workbookViewId="0">
      <selection activeCell="F20" sqref="F20"/>
    </sheetView>
  </sheetViews>
  <sheetFormatPr defaultRowHeight="15" x14ac:dyDescent="0.25"/>
  <cols>
    <col min="1" max="1" width="24.85546875" bestFit="1" customWidth="1"/>
    <col min="2" max="2" width="11.42578125" bestFit="1" customWidth="1"/>
    <col min="3" max="3" width="8.5703125" bestFit="1" customWidth="1"/>
    <col min="4" max="4" width="13.85546875" bestFit="1" customWidth="1"/>
    <col min="5" max="5" width="18.140625" bestFit="1" customWidth="1"/>
  </cols>
  <sheetData>
    <row r="1" spans="1:5" x14ac:dyDescent="0.25">
      <c r="A1" s="45" t="s">
        <v>65</v>
      </c>
      <c r="B1" s="45"/>
      <c r="C1" s="45"/>
      <c r="D1" s="45"/>
      <c r="E1" s="45"/>
    </row>
    <row r="2" spans="1:5" x14ac:dyDescent="0.25">
      <c r="A2" s="45"/>
      <c r="B2" s="45"/>
      <c r="C2" s="45"/>
      <c r="D2" s="45"/>
      <c r="E2" s="45"/>
    </row>
    <row r="3" spans="1:5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</row>
    <row r="4" spans="1:5" x14ac:dyDescent="0.25">
      <c r="A4" s="31" t="s">
        <v>37</v>
      </c>
      <c r="B4" s="1">
        <v>2</v>
      </c>
      <c r="C4" s="1" t="s">
        <v>10</v>
      </c>
      <c r="D4" s="4">
        <v>10.16</v>
      </c>
      <c r="E4" s="4">
        <f>B4*D4</f>
        <v>20.32</v>
      </c>
    </row>
    <row r="5" spans="1:5" x14ac:dyDescent="0.25">
      <c r="A5" s="5" t="s">
        <v>51</v>
      </c>
      <c r="B5" s="6">
        <v>12</v>
      </c>
      <c r="C5" s="6" t="s">
        <v>4</v>
      </c>
      <c r="D5" s="7">
        <v>0.16</v>
      </c>
      <c r="E5" s="7">
        <f t="shared" ref="E5" si="0">B5*D5</f>
        <v>1.92</v>
      </c>
    </row>
    <row r="6" spans="1:5" x14ac:dyDescent="0.25">
      <c r="A6" s="3" t="s">
        <v>43</v>
      </c>
      <c r="B6" s="1">
        <v>1</v>
      </c>
      <c r="C6" s="1" t="s">
        <v>4</v>
      </c>
      <c r="D6" s="4">
        <v>4.75</v>
      </c>
      <c r="E6" s="4">
        <f>B6*D6</f>
        <v>4.75</v>
      </c>
    </row>
    <row r="7" spans="1:5" x14ac:dyDescent="0.25">
      <c r="A7" s="3" t="s">
        <v>84</v>
      </c>
      <c r="B7" s="1">
        <v>1</v>
      </c>
      <c r="C7" s="1" t="s">
        <v>4</v>
      </c>
      <c r="D7" s="4">
        <v>0.27</v>
      </c>
      <c r="E7" s="4">
        <f>B7*D7</f>
        <v>0.27</v>
      </c>
    </row>
    <row r="8" spans="1:5" x14ac:dyDescent="0.25">
      <c r="A8" s="3" t="s">
        <v>11</v>
      </c>
      <c r="B8" s="1">
        <v>10</v>
      </c>
      <c r="C8" s="1" t="s">
        <v>10</v>
      </c>
      <c r="D8" s="4">
        <v>0.04</v>
      </c>
      <c r="E8" s="4">
        <f>B8*D8</f>
        <v>0.4</v>
      </c>
    </row>
    <row r="9" spans="1:5" x14ac:dyDescent="0.25">
      <c r="A9" s="3" t="s">
        <v>18</v>
      </c>
      <c r="B9" s="1">
        <v>1</v>
      </c>
      <c r="C9" s="1" t="s">
        <v>4</v>
      </c>
      <c r="D9" s="4">
        <v>0.69</v>
      </c>
      <c r="E9" s="4">
        <f>B9*D9</f>
        <v>0.69</v>
      </c>
    </row>
    <row r="10" spans="1:5" x14ac:dyDescent="0.25">
      <c r="A10" s="3" t="s">
        <v>85</v>
      </c>
      <c r="B10" s="1">
        <v>1</v>
      </c>
      <c r="C10" s="1" t="s">
        <v>86</v>
      </c>
      <c r="D10" s="4">
        <v>0.36</v>
      </c>
      <c r="E10" s="4">
        <f>B10*D10</f>
        <v>0.36</v>
      </c>
    </row>
    <row r="11" spans="1:5" ht="18.75" x14ac:dyDescent="0.25">
      <c r="A11" s="46" t="s">
        <v>12</v>
      </c>
      <c r="B11" s="47"/>
      <c r="C11" s="47"/>
      <c r="D11" s="48"/>
      <c r="E11" s="11">
        <f>SUM(E4:E10)</f>
        <v>28.71</v>
      </c>
    </row>
    <row r="12" spans="1:5" ht="18.75" x14ac:dyDescent="0.25">
      <c r="A12" s="10"/>
      <c r="B12" s="10"/>
      <c r="C12" s="10"/>
      <c r="D12" s="11"/>
      <c r="E12" s="11"/>
    </row>
    <row r="13" spans="1:5" x14ac:dyDescent="0.25">
      <c r="A13" s="3"/>
      <c r="B13" s="3"/>
      <c r="C13" s="1"/>
      <c r="D13" s="4"/>
      <c r="E13" s="4"/>
    </row>
    <row r="14" spans="1:5" x14ac:dyDescent="0.25">
      <c r="A14" s="3" t="s">
        <v>40</v>
      </c>
      <c r="B14" s="3">
        <v>1</v>
      </c>
      <c r="C14" s="1" t="s">
        <v>13</v>
      </c>
      <c r="D14" s="4">
        <v>17</v>
      </c>
      <c r="E14" s="4">
        <v>17</v>
      </c>
    </row>
    <row r="15" spans="1:5" x14ac:dyDescent="0.25">
      <c r="A15" s="3"/>
      <c r="B15" s="3"/>
      <c r="C15" s="1"/>
      <c r="D15" s="4"/>
      <c r="E15" s="4"/>
    </row>
    <row r="16" spans="1:5" ht="18.75" x14ac:dyDescent="0.25">
      <c r="A16" s="46" t="s">
        <v>15</v>
      </c>
      <c r="B16" s="47"/>
      <c r="C16" s="47"/>
      <c r="D16" s="48"/>
      <c r="E16" s="11">
        <f>SUM(E13:E15)</f>
        <v>17</v>
      </c>
    </row>
    <row r="17" spans="1:6" ht="15.75" x14ac:dyDescent="0.25">
      <c r="A17" s="49" t="s">
        <v>41</v>
      </c>
      <c r="B17" s="50"/>
      <c r="C17" s="50"/>
      <c r="D17" s="51"/>
      <c r="E17" s="13">
        <f>SUM(E16,E11)*61%</f>
        <v>27.883099999999999</v>
      </c>
    </row>
    <row r="18" spans="1:6" ht="18.75" x14ac:dyDescent="0.25">
      <c r="A18" s="46" t="s">
        <v>14</v>
      </c>
      <c r="B18" s="47"/>
      <c r="C18" s="47"/>
      <c r="D18" s="48"/>
      <c r="E18" s="11">
        <f>SUM(E17,E16,E11)</f>
        <v>73.593099999999993</v>
      </c>
    </row>
    <row r="19" spans="1:6" ht="15.75" x14ac:dyDescent="0.25">
      <c r="A19" s="52" t="s">
        <v>16</v>
      </c>
      <c r="B19" s="53"/>
      <c r="C19" s="53"/>
      <c r="D19" s="54"/>
      <c r="E19" s="25">
        <f>(E20-E18)/E18</f>
        <v>2.5329399087686215</v>
      </c>
    </row>
    <row r="20" spans="1:6" ht="18.75" x14ac:dyDescent="0.25">
      <c r="A20" s="44" t="s">
        <v>17</v>
      </c>
      <c r="B20" s="44"/>
      <c r="C20" s="44"/>
      <c r="D20" s="44"/>
      <c r="E20" s="11">
        <v>260</v>
      </c>
      <c r="F20" s="24"/>
    </row>
    <row r="22" spans="1:6" x14ac:dyDescent="0.25">
      <c r="A22" s="27" t="s">
        <v>89</v>
      </c>
      <c r="B22" s="28"/>
      <c r="C22" s="28"/>
      <c r="D22" s="35"/>
    </row>
    <row r="23" spans="1:6" x14ac:dyDescent="0.25">
      <c r="A23" s="33" t="s">
        <v>88</v>
      </c>
      <c r="B23" s="34"/>
    </row>
  </sheetData>
  <sortState xmlns:xlrd2="http://schemas.microsoft.com/office/spreadsheetml/2017/richdata2" ref="A6:E10">
    <sortCondition ref="A5"/>
  </sortState>
  <mergeCells count="7">
    <mergeCell ref="A20:D20"/>
    <mergeCell ref="A1:E2"/>
    <mergeCell ref="A11:D11"/>
    <mergeCell ref="A16:D16"/>
    <mergeCell ref="A17:D17"/>
    <mergeCell ref="A18:D18"/>
    <mergeCell ref="A19:D19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23"/>
  <sheetViews>
    <sheetView workbookViewId="0">
      <selection activeCell="E10" sqref="E10"/>
    </sheetView>
  </sheetViews>
  <sheetFormatPr defaultRowHeight="15" x14ac:dyDescent="0.25"/>
  <cols>
    <col min="1" max="1" width="24.85546875" bestFit="1" customWidth="1"/>
    <col min="2" max="2" width="11.42578125" bestFit="1" customWidth="1"/>
    <col min="3" max="3" width="8.5703125" bestFit="1" customWidth="1"/>
    <col min="4" max="4" width="13.85546875" bestFit="1" customWidth="1"/>
    <col min="5" max="5" width="18.140625" bestFit="1" customWidth="1"/>
  </cols>
  <sheetData>
    <row r="1" spans="1:5" ht="15" customHeight="1" x14ac:dyDescent="0.25">
      <c r="A1" s="45" t="s">
        <v>60</v>
      </c>
      <c r="B1" s="45"/>
      <c r="C1" s="45"/>
      <c r="D1" s="45"/>
      <c r="E1" s="45"/>
    </row>
    <row r="2" spans="1:5" ht="15" customHeight="1" x14ac:dyDescent="0.25">
      <c r="A2" s="45"/>
      <c r="B2" s="45"/>
      <c r="C2" s="45"/>
      <c r="D2" s="45"/>
      <c r="E2" s="45"/>
    </row>
    <row r="3" spans="1:5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</row>
    <row r="4" spans="1:5" x14ac:dyDescent="0.25">
      <c r="A4" s="31" t="s">
        <v>37</v>
      </c>
      <c r="B4" s="1">
        <v>2</v>
      </c>
      <c r="C4" s="1" t="s">
        <v>10</v>
      </c>
      <c r="D4" s="4">
        <v>10.16</v>
      </c>
      <c r="E4" s="4">
        <f>B4*D4</f>
        <v>20.32</v>
      </c>
    </row>
    <row r="5" spans="1:5" x14ac:dyDescent="0.25">
      <c r="A5" s="31" t="s">
        <v>54</v>
      </c>
      <c r="B5" s="6">
        <v>1</v>
      </c>
      <c r="C5" s="6" t="s">
        <v>4</v>
      </c>
      <c r="D5" s="7">
        <v>7.49</v>
      </c>
      <c r="E5" s="7">
        <f t="shared" ref="E5" si="0">B5*D5</f>
        <v>7.49</v>
      </c>
    </row>
    <row r="6" spans="1:5" x14ac:dyDescent="0.25">
      <c r="A6" s="31" t="s">
        <v>61</v>
      </c>
      <c r="B6" s="18">
        <v>2</v>
      </c>
      <c r="C6" s="3" t="s">
        <v>4</v>
      </c>
      <c r="D6" s="4">
        <v>0.16</v>
      </c>
      <c r="E6" s="4">
        <f t="shared" ref="E6:E11" si="1">B6*D6</f>
        <v>0.32</v>
      </c>
    </row>
    <row r="7" spans="1:5" x14ac:dyDescent="0.25">
      <c r="A7" t="s">
        <v>43</v>
      </c>
      <c r="B7" s="1">
        <v>1</v>
      </c>
      <c r="C7" s="1" t="s">
        <v>4</v>
      </c>
      <c r="D7" s="4">
        <v>4.75</v>
      </c>
      <c r="E7" s="4">
        <f t="shared" si="1"/>
        <v>4.75</v>
      </c>
    </row>
    <row r="8" spans="1:5" x14ac:dyDescent="0.25">
      <c r="A8" s="3" t="s">
        <v>84</v>
      </c>
      <c r="B8" s="1">
        <v>1</v>
      </c>
      <c r="C8" s="1" t="s">
        <v>4</v>
      </c>
      <c r="D8" s="4">
        <v>0.27</v>
      </c>
      <c r="E8" s="4">
        <f t="shared" si="1"/>
        <v>0.27</v>
      </c>
    </row>
    <row r="9" spans="1:5" x14ac:dyDescent="0.25">
      <c r="A9" s="3" t="s">
        <v>11</v>
      </c>
      <c r="B9" s="1">
        <v>10</v>
      </c>
      <c r="C9" s="1" t="s">
        <v>10</v>
      </c>
      <c r="D9" s="4">
        <v>0.04</v>
      </c>
      <c r="E9" s="4">
        <f t="shared" si="1"/>
        <v>0.4</v>
      </c>
    </row>
    <row r="10" spans="1:5" x14ac:dyDescent="0.25">
      <c r="A10" s="3" t="s">
        <v>18</v>
      </c>
      <c r="B10" s="1">
        <v>1</v>
      </c>
      <c r="C10" s="1" t="s">
        <v>4</v>
      </c>
      <c r="D10" s="4">
        <v>0.36</v>
      </c>
      <c r="E10" s="4">
        <f t="shared" si="1"/>
        <v>0.36</v>
      </c>
    </row>
    <row r="11" spans="1:5" x14ac:dyDescent="0.25">
      <c r="A11" s="3" t="s">
        <v>85</v>
      </c>
      <c r="B11" s="1">
        <v>1</v>
      </c>
      <c r="C11" s="1" t="s">
        <v>86</v>
      </c>
      <c r="D11" s="4">
        <v>0.36</v>
      </c>
      <c r="E11" s="4">
        <f t="shared" si="1"/>
        <v>0.36</v>
      </c>
    </row>
    <row r="12" spans="1:5" ht="18.75" x14ac:dyDescent="0.25">
      <c r="A12" s="46" t="s">
        <v>12</v>
      </c>
      <c r="B12" s="47"/>
      <c r="C12" s="47"/>
      <c r="D12" s="48"/>
      <c r="E12" s="11">
        <f>SUM(E4:E11)</f>
        <v>34.270000000000003</v>
      </c>
    </row>
    <row r="13" spans="1:5" ht="18.75" x14ac:dyDescent="0.25">
      <c r="A13" s="10"/>
      <c r="B13" s="10"/>
      <c r="C13" s="10"/>
      <c r="D13" s="11"/>
      <c r="E13" s="11"/>
    </row>
    <row r="14" spans="1:5" x14ac:dyDescent="0.25">
      <c r="A14" s="3"/>
      <c r="B14" s="3"/>
      <c r="C14" s="1"/>
      <c r="D14" s="4"/>
      <c r="E14" s="4"/>
    </row>
    <row r="15" spans="1:5" x14ac:dyDescent="0.25">
      <c r="A15" s="3" t="s">
        <v>40</v>
      </c>
      <c r="B15" s="3">
        <v>1</v>
      </c>
      <c r="C15" s="1" t="s">
        <v>13</v>
      </c>
      <c r="D15" s="4">
        <v>17</v>
      </c>
      <c r="E15" s="4">
        <v>17</v>
      </c>
    </row>
    <row r="16" spans="1:5" x14ac:dyDescent="0.25">
      <c r="A16" s="3"/>
      <c r="B16" s="3"/>
      <c r="C16" s="1"/>
      <c r="D16" s="4"/>
      <c r="E16" s="4"/>
    </row>
    <row r="17" spans="1:6" ht="18.75" x14ac:dyDescent="0.25">
      <c r="A17" s="46" t="s">
        <v>15</v>
      </c>
      <c r="B17" s="47"/>
      <c r="C17" s="47"/>
      <c r="D17" s="48"/>
      <c r="E17" s="11">
        <f>SUM(E14:E16)</f>
        <v>17</v>
      </c>
    </row>
    <row r="18" spans="1:6" ht="15.75" x14ac:dyDescent="0.25">
      <c r="A18" s="49" t="s">
        <v>41</v>
      </c>
      <c r="B18" s="50"/>
      <c r="C18" s="50"/>
      <c r="D18" s="51"/>
      <c r="E18" s="13">
        <f>SUM(E17,E12)*61%</f>
        <v>31.274700000000003</v>
      </c>
    </row>
    <row r="19" spans="1:6" ht="18.75" x14ac:dyDescent="0.25">
      <c r="A19" s="46" t="s">
        <v>14</v>
      </c>
      <c r="B19" s="47"/>
      <c r="C19" s="47"/>
      <c r="D19" s="48"/>
      <c r="E19" s="11">
        <f>SUM(E18,E17,E12)</f>
        <v>82.544700000000006</v>
      </c>
    </row>
    <row r="20" spans="1:6" ht="15.75" x14ac:dyDescent="0.25">
      <c r="A20" s="52" t="s">
        <v>16</v>
      </c>
      <c r="B20" s="53"/>
      <c r="C20" s="53"/>
      <c r="D20" s="54"/>
      <c r="E20" s="25">
        <f>(E21-E19)/E19</f>
        <v>3.361273346441382</v>
      </c>
    </row>
    <row r="21" spans="1:6" ht="18.75" x14ac:dyDescent="0.25">
      <c r="A21" s="44" t="s">
        <v>17</v>
      </c>
      <c r="B21" s="44"/>
      <c r="C21" s="44"/>
      <c r="D21" s="44"/>
      <c r="E21" s="11">
        <v>360</v>
      </c>
      <c r="F21" s="24"/>
    </row>
    <row r="23" spans="1:6" x14ac:dyDescent="0.25">
      <c r="A23" s="3" t="s">
        <v>88</v>
      </c>
      <c r="B23" s="31"/>
    </row>
  </sheetData>
  <sortState xmlns:xlrd2="http://schemas.microsoft.com/office/spreadsheetml/2017/richdata2" ref="A6:E11">
    <sortCondition ref="A5"/>
  </sortState>
  <mergeCells count="7">
    <mergeCell ref="A21:D21"/>
    <mergeCell ref="A1:E2"/>
    <mergeCell ref="A12:D12"/>
    <mergeCell ref="A17:D17"/>
    <mergeCell ref="A18:D18"/>
    <mergeCell ref="A19:D19"/>
    <mergeCell ref="A20:D20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23"/>
  <sheetViews>
    <sheetView workbookViewId="0">
      <selection activeCell="E9" sqref="E9"/>
    </sheetView>
  </sheetViews>
  <sheetFormatPr defaultRowHeight="15" x14ac:dyDescent="0.25"/>
  <cols>
    <col min="1" max="1" width="24.85546875" bestFit="1" customWidth="1"/>
    <col min="2" max="2" width="11.42578125" bestFit="1" customWidth="1"/>
    <col min="3" max="3" width="8.5703125" bestFit="1" customWidth="1"/>
    <col min="4" max="4" width="13.85546875" bestFit="1" customWidth="1"/>
    <col min="5" max="5" width="18.140625" bestFit="1" customWidth="1"/>
  </cols>
  <sheetData>
    <row r="1" spans="1:5" x14ac:dyDescent="0.25">
      <c r="A1" s="45" t="s">
        <v>62</v>
      </c>
      <c r="B1" s="45"/>
      <c r="C1" s="45"/>
      <c r="D1" s="45"/>
      <c r="E1" s="45"/>
    </row>
    <row r="2" spans="1:5" x14ac:dyDescent="0.25">
      <c r="A2" s="45"/>
      <c r="B2" s="45"/>
      <c r="C2" s="45"/>
      <c r="D2" s="45"/>
      <c r="E2" s="45"/>
    </row>
    <row r="3" spans="1:5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</row>
    <row r="4" spans="1:5" x14ac:dyDescent="0.25">
      <c r="A4" s="31" t="s">
        <v>37</v>
      </c>
      <c r="B4" s="1">
        <v>2</v>
      </c>
      <c r="C4" s="1" t="s">
        <v>10</v>
      </c>
      <c r="D4" s="4">
        <v>10.16</v>
      </c>
      <c r="E4" s="4">
        <f>B4*D4</f>
        <v>20.32</v>
      </c>
    </row>
    <row r="5" spans="1:5" x14ac:dyDescent="0.25">
      <c r="A5" s="5" t="s">
        <v>51</v>
      </c>
      <c r="B5" s="6">
        <v>4</v>
      </c>
      <c r="C5" s="6" t="s">
        <v>4</v>
      </c>
      <c r="D5" s="7">
        <v>0.16</v>
      </c>
      <c r="E5" s="7">
        <f t="shared" ref="E5" si="0">B5*D5</f>
        <v>0.64</v>
      </c>
    </row>
    <row r="6" spans="1:5" x14ac:dyDescent="0.25">
      <c r="A6" s="3" t="s">
        <v>43</v>
      </c>
      <c r="B6" s="1">
        <v>1</v>
      </c>
      <c r="C6" s="1" t="s">
        <v>4</v>
      </c>
      <c r="D6" s="4">
        <v>4.75</v>
      </c>
      <c r="E6" s="4">
        <f>B6*D6</f>
        <v>4.75</v>
      </c>
    </row>
    <row r="7" spans="1:5" x14ac:dyDescent="0.25">
      <c r="A7" s="3" t="s">
        <v>84</v>
      </c>
      <c r="B7" s="1">
        <v>1</v>
      </c>
      <c r="C7" s="1" t="s">
        <v>4</v>
      </c>
      <c r="D7" s="4">
        <v>0.27</v>
      </c>
      <c r="E7" s="4">
        <f>B7*D7</f>
        <v>0.27</v>
      </c>
    </row>
    <row r="8" spans="1:5" x14ac:dyDescent="0.25">
      <c r="A8" s="3" t="s">
        <v>11</v>
      </c>
      <c r="B8" s="1">
        <v>10</v>
      </c>
      <c r="C8" s="1" t="s">
        <v>10</v>
      </c>
      <c r="D8" s="4">
        <v>0.04</v>
      </c>
      <c r="E8" s="4">
        <f>B8*D8</f>
        <v>0.4</v>
      </c>
    </row>
    <row r="9" spans="1:5" x14ac:dyDescent="0.25">
      <c r="A9" s="3" t="s">
        <v>18</v>
      </c>
      <c r="B9" s="1">
        <v>1</v>
      </c>
      <c r="C9" s="1" t="s">
        <v>4</v>
      </c>
      <c r="D9" s="4">
        <v>0.36</v>
      </c>
      <c r="E9" s="4">
        <f>B9*D9</f>
        <v>0.36</v>
      </c>
    </row>
    <row r="10" spans="1:5" x14ac:dyDescent="0.25">
      <c r="A10" s="3" t="s">
        <v>85</v>
      </c>
      <c r="B10" s="1">
        <v>1</v>
      </c>
      <c r="C10" s="1" t="s">
        <v>86</v>
      </c>
      <c r="D10" s="4">
        <v>0.36</v>
      </c>
      <c r="E10" s="4">
        <f>B10*D10</f>
        <v>0.36</v>
      </c>
    </row>
    <row r="11" spans="1:5" ht="18.75" x14ac:dyDescent="0.25">
      <c r="A11" s="46" t="s">
        <v>12</v>
      </c>
      <c r="B11" s="47"/>
      <c r="C11" s="47"/>
      <c r="D11" s="48"/>
      <c r="E11" s="11">
        <f>SUM(E4:E10)</f>
        <v>27.099999999999998</v>
      </c>
    </row>
    <row r="12" spans="1:5" ht="18.75" x14ac:dyDescent="0.25">
      <c r="A12" s="10"/>
      <c r="B12" s="10"/>
      <c r="C12" s="10"/>
      <c r="D12" s="11"/>
      <c r="E12" s="11"/>
    </row>
    <row r="13" spans="1:5" x14ac:dyDescent="0.25">
      <c r="A13" s="3"/>
      <c r="B13" s="3"/>
      <c r="C13" s="1"/>
      <c r="D13" s="4"/>
      <c r="E13" s="4"/>
    </row>
    <row r="14" spans="1:5" x14ac:dyDescent="0.25">
      <c r="A14" s="3" t="s">
        <v>40</v>
      </c>
      <c r="B14" s="3">
        <v>1</v>
      </c>
      <c r="C14" s="1" t="s">
        <v>13</v>
      </c>
      <c r="D14" s="4">
        <v>17</v>
      </c>
      <c r="E14" s="4">
        <v>17</v>
      </c>
    </row>
    <row r="15" spans="1:5" x14ac:dyDescent="0.25">
      <c r="A15" s="3"/>
      <c r="B15" s="3"/>
      <c r="C15" s="1"/>
      <c r="D15" s="4"/>
      <c r="E15" s="4"/>
    </row>
    <row r="16" spans="1:5" ht="18.75" x14ac:dyDescent="0.25">
      <c r="A16" s="46" t="s">
        <v>15</v>
      </c>
      <c r="B16" s="47"/>
      <c r="C16" s="47"/>
      <c r="D16" s="48"/>
      <c r="E16" s="11">
        <f>SUM(E13:E15)</f>
        <v>17</v>
      </c>
    </row>
    <row r="17" spans="1:6" ht="15.75" x14ac:dyDescent="0.25">
      <c r="A17" s="49" t="s">
        <v>41</v>
      </c>
      <c r="B17" s="50"/>
      <c r="C17" s="50"/>
      <c r="D17" s="51"/>
      <c r="E17" s="13">
        <f>SUM(E16,E11)*61%</f>
        <v>26.900999999999996</v>
      </c>
    </row>
    <row r="18" spans="1:6" ht="18.75" x14ac:dyDescent="0.25">
      <c r="A18" s="46" t="s">
        <v>14</v>
      </c>
      <c r="B18" s="47"/>
      <c r="C18" s="47"/>
      <c r="D18" s="48"/>
      <c r="E18" s="11">
        <f>SUM(E17,E16,E11)</f>
        <v>71.000999999999991</v>
      </c>
    </row>
    <row r="19" spans="1:6" ht="15.75" x14ac:dyDescent="0.25">
      <c r="A19" s="52" t="s">
        <v>16</v>
      </c>
      <c r="B19" s="53"/>
      <c r="C19" s="53"/>
      <c r="D19" s="54"/>
      <c r="E19" s="25">
        <f>(E20-E18)/E18</f>
        <v>1.5351755609075932</v>
      </c>
    </row>
    <row r="20" spans="1:6" ht="18.75" x14ac:dyDescent="0.25">
      <c r="A20" s="44" t="s">
        <v>17</v>
      </c>
      <c r="B20" s="44"/>
      <c r="C20" s="44"/>
      <c r="D20" s="44"/>
      <c r="E20" s="11">
        <v>180</v>
      </c>
      <c r="F20" s="24"/>
    </row>
    <row r="22" spans="1:6" x14ac:dyDescent="0.25">
      <c r="A22" s="27" t="s">
        <v>89</v>
      </c>
      <c r="B22" s="28"/>
      <c r="C22" s="28"/>
      <c r="D22" s="35"/>
    </row>
    <row r="23" spans="1:6" x14ac:dyDescent="0.25">
      <c r="A23" s="33" t="s">
        <v>88</v>
      </c>
      <c r="B23" s="34"/>
    </row>
  </sheetData>
  <sortState xmlns:xlrd2="http://schemas.microsoft.com/office/spreadsheetml/2017/richdata2" ref="A6:E10">
    <sortCondition ref="A5"/>
  </sortState>
  <mergeCells count="7">
    <mergeCell ref="A20:D20"/>
    <mergeCell ref="A1:E2"/>
    <mergeCell ref="A11:D11"/>
    <mergeCell ref="A16:D16"/>
    <mergeCell ref="A17:D17"/>
    <mergeCell ref="A18:D18"/>
    <mergeCell ref="A19:D19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22"/>
  <sheetViews>
    <sheetView workbookViewId="0">
      <selection activeCell="E9" sqref="E9"/>
    </sheetView>
  </sheetViews>
  <sheetFormatPr defaultRowHeight="15" x14ac:dyDescent="0.25"/>
  <cols>
    <col min="1" max="1" width="24.85546875" bestFit="1" customWidth="1"/>
    <col min="2" max="2" width="11.42578125" bestFit="1" customWidth="1"/>
    <col min="3" max="3" width="8.5703125" bestFit="1" customWidth="1"/>
    <col min="4" max="4" width="13.85546875" bestFit="1" customWidth="1"/>
    <col min="5" max="5" width="18.140625" bestFit="1" customWidth="1"/>
  </cols>
  <sheetData>
    <row r="1" spans="1:5" x14ac:dyDescent="0.25">
      <c r="A1" s="45" t="s">
        <v>63</v>
      </c>
      <c r="B1" s="45"/>
      <c r="C1" s="45"/>
      <c r="D1" s="45"/>
      <c r="E1" s="45"/>
    </row>
    <row r="2" spans="1:5" x14ac:dyDescent="0.25">
      <c r="A2" s="45"/>
      <c r="B2" s="45"/>
      <c r="C2" s="45"/>
      <c r="D2" s="45"/>
      <c r="E2" s="45"/>
    </row>
    <row r="3" spans="1:5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</row>
    <row r="4" spans="1:5" x14ac:dyDescent="0.25">
      <c r="A4" s="31" t="s">
        <v>37</v>
      </c>
      <c r="B4" s="1">
        <v>2</v>
      </c>
      <c r="C4" s="1" t="s">
        <v>10</v>
      </c>
      <c r="D4" s="4">
        <v>10.16</v>
      </c>
      <c r="E4" s="4">
        <f>B4*D4</f>
        <v>20.32</v>
      </c>
    </row>
    <row r="5" spans="1:5" x14ac:dyDescent="0.25">
      <c r="A5" s="5" t="s">
        <v>51</v>
      </c>
      <c r="B5" s="6">
        <v>4</v>
      </c>
      <c r="C5" s="6" t="s">
        <v>4</v>
      </c>
      <c r="D5" s="7">
        <v>0.16</v>
      </c>
      <c r="E5" s="7">
        <f t="shared" ref="E5" si="0">B5*D5</f>
        <v>0.64</v>
      </c>
    </row>
    <row r="6" spans="1:5" x14ac:dyDescent="0.25">
      <c r="A6" s="3" t="s">
        <v>43</v>
      </c>
      <c r="B6" s="1">
        <v>1</v>
      </c>
      <c r="C6" s="1" t="s">
        <v>4</v>
      </c>
      <c r="D6" s="4">
        <v>4.75</v>
      </c>
      <c r="E6" s="4">
        <f>B6*D6</f>
        <v>4.75</v>
      </c>
    </row>
    <row r="7" spans="1:5" x14ac:dyDescent="0.25">
      <c r="A7" s="3" t="s">
        <v>84</v>
      </c>
      <c r="B7" s="1">
        <v>1</v>
      </c>
      <c r="C7" s="1" t="s">
        <v>4</v>
      </c>
      <c r="D7" s="4">
        <v>0.27</v>
      </c>
      <c r="E7" s="4">
        <f>B7*D7</f>
        <v>0.27</v>
      </c>
    </row>
    <row r="8" spans="1:5" x14ac:dyDescent="0.25">
      <c r="A8" s="3" t="s">
        <v>11</v>
      </c>
      <c r="B8" s="1">
        <v>10</v>
      </c>
      <c r="C8" s="1" t="s">
        <v>10</v>
      </c>
      <c r="D8" s="4">
        <v>0.04</v>
      </c>
      <c r="E8" s="4">
        <f>B8*D8</f>
        <v>0.4</v>
      </c>
    </row>
    <row r="9" spans="1:5" x14ac:dyDescent="0.25">
      <c r="A9" s="3" t="s">
        <v>18</v>
      </c>
      <c r="B9" s="1">
        <v>1</v>
      </c>
      <c r="C9" s="1" t="s">
        <v>4</v>
      </c>
      <c r="D9" s="4">
        <v>0.36</v>
      </c>
      <c r="E9" s="4">
        <f>B9*D9</f>
        <v>0.36</v>
      </c>
    </row>
    <row r="10" spans="1:5" x14ac:dyDescent="0.25">
      <c r="A10" s="3" t="s">
        <v>85</v>
      </c>
      <c r="B10" s="1">
        <v>1</v>
      </c>
      <c r="C10" s="1" t="s">
        <v>86</v>
      </c>
      <c r="D10" s="4">
        <v>0.36</v>
      </c>
      <c r="E10" s="4">
        <f>B10*D10</f>
        <v>0.36</v>
      </c>
    </row>
    <row r="11" spans="1:5" ht="18.75" x14ac:dyDescent="0.25">
      <c r="A11" s="46" t="s">
        <v>12</v>
      </c>
      <c r="B11" s="47"/>
      <c r="C11" s="47"/>
      <c r="D11" s="48"/>
      <c r="E11" s="11">
        <f>SUM(E4:E10)</f>
        <v>27.099999999999998</v>
      </c>
    </row>
    <row r="12" spans="1:5" ht="18.75" x14ac:dyDescent="0.25">
      <c r="A12" s="10"/>
      <c r="B12" s="10"/>
      <c r="C12" s="10"/>
      <c r="D12" s="11"/>
      <c r="E12" s="11"/>
    </row>
    <row r="13" spans="1:5" x14ac:dyDescent="0.25">
      <c r="A13" s="3"/>
      <c r="B13" s="3"/>
      <c r="C13" s="1"/>
      <c r="D13" s="4"/>
      <c r="E13" s="4"/>
    </row>
    <row r="14" spans="1:5" x14ac:dyDescent="0.25">
      <c r="A14" s="3" t="s">
        <v>40</v>
      </c>
      <c r="B14" s="3">
        <v>1</v>
      </c>
      <c r="C14" s="1" t="s">
        <v>13</v>
      </c>
      <c r="D14" s="4">
        <v>17</v>
      </c>
      <c r="E14" s="4">
        <v>17</v>
      </c>
    </row>
    <row r="15" spans="1:5" x14ac:dyDescent="0.25">
      <c r="A15" s="3"/>
      <c r="B15" s="3"/>
      <c r="C15" s="1"/>
      <c r="D15" s="4"/>
      <c r="E15" s="4"/>
    </row>
    <row r="16" spans="1:5" ht="18.75" x14ac:dyDescent="0.25">
      <c r="A16" s="46" t="s">
        <v>15</v>
      </c>
      <c r="B16" s="47"/>
      <c r="C16" s="47"/>
      <c r="D16" s="48"/>
      <c r="E16" s="11">
        <f>SUM(E13:E15)</f>
        <v>17</v>
      </c>
    </row>
    <row r="17" spans="1:6" ht="15.75" x14ac:dyDescent="0.25">
      <c r="A17" s="49" t="s">
        <v>41</v>
      </c>
      <c r="B17" s="50"/>
      <c r="C17" s="50"/>
      <c r="D17" s="51"/>
      <c r="E17" s="13">
        <f>SUM(E16,E11)*61%</f>
        <v>26.900999999999996</v>
      </c>
    </row>
    <row r="18" spans="1:6" ht="18.75" x14ac:dyDescent="0.25">
      <c r="A18" s="46" t="s">
        <v>14</v>
      </c>
      <c r="B18" s="47"/>
      <c r="C18" s="47"/>
      <c r="D18" s="48"/>
      <c r="E18" s="11">
        <f>SUM(E17,E16,E11)</f>
        <v>71.000999999999991</v>
      </c>
    </row>
    <row r="19" spans="1:6" ht="15.75" x14ac:dyDescent="0.25">
      <c r="A19" s="52" t="s">
        <v>16</v>
      </c>
      <c r="B19" s="53"/>
      <c r="C19" s="53"/>
      <c r="D19" s="54"/>
      <c r="E19" s="25">
        <f>(E20-E18)/E18</f>
        <v>1.2534893874734161</v>
      </c>
    </row>
    <row r="20" spans="1:6" ht="18.75" x14ac:dyDescent="0.25">
      <c r="A20" s="44" t="s">
        <v>17</v>
      </c>
      <c r="B20" s="44"/>
      <c r="C20" s="44"/>
      <c r="D20" s="44"/>
      <c r="E20" s="11">
        <v>160</v>
      </c>
      <c r="F20" s="24"/>
    </row>
    <row r="22" spans="1:6" x14ac:dyDescent="0.25">
      <c r="A22" s="3" t="s">
        <v>88</v>
      </c>
      <c r="B22" s="31"/>
    </row>
  </sheetData>
  <sortState xmlns:xlrd2="http://schemas.microsoft.com/office/spreadsheetml/2017/richdata2" ref="A6:E10">
    <sortCondition ref="A5"/>
  </sortState>
  <mergeCells count="7">
    <mergeCell ref="A20:D20"/>
    <mergeCell ref="A1:E2"/>
    <mergeCell ref="A11:D11"/>
    <mergeCell ref="A16:D16"/>
    <mergeCell ref="A17:D17"/>
    <mergeCell ref="A18:D18"/>
    <mergeCell ref="A19:D19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23"/>
  <sheetViews>
    <sheetView workbookViewId="0">
      <selection activeCell="E9" sqref="E9"/>
    </sheetView>
  </sheetViews>
  <sheetFormatPr defaultRowHeight="15" x14ac:dyDescent="0.25"/>
  <cols>
    <col min="1" max="1" width="24.85546875" bestFit="1" customWidth="1"/>
    <col min="2" max="2" width="11.42578125" bestFit="1" customWidth="1"/>
    <col min="3" max="3" width="8.5703125" bestFit="1" customWidth="1"/>
    <col min="4" max="4" width="13.85546875" bestFit="1" customWidth="1"/>
    <col min="5" max="5" width="18.140625" bestFit="1" customWidth="1"/>
  </cols>
  <sheetData>
    <row r="1" spans="1:5" x14ac:dyDescent="0.25">
      <c r="A1" s="45" t="s">
        <v>64</v>
      </c>
      <c r="B1" s="45"/>
      <c r="C1" s="45"/>
      <c r="D1" s="45"/>
      <c r="E1" s="45"/>
    </row>
    <row r="2" spans="1:5" x14ac:dyDescent="0.25">
      <c r="A2" s="45"/>
      <c r="B2" s="45"/>
      <c r="C2" s="45"/>
      <c r="D2" s="45"/>
      <c r="E2" s="45"/>
    </row>
    <row r="3" spans="1:5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</row>
    <row r="4" spans="1:5" x14ac:dyDescent="0.25">
      <c r="A4" s="31" t="s">
        <v>37</v>
      </c>
      <c r="B4" s="1">
        <v>2</v>
      </c>
      <c r="C4" s="1" t="s">
        <v>10</v>
      </c>
      <c r="D4" s="4">
        <v>10.16</v>
      </c>
      <c r="E4" s="4">
        <f>B4*D4</f>
        <v>20.32</v>
      </c>
    </row>
    <row r="5" spans="1:5" x14ac:dyDescent="0.25">
      <c r="A5" s="5" t="s">
        <v>51</v>
      </c>
      <c r="B5" s="6">
        <v>6</v>
      </c>
      <c r="C5" s="6" t="s">
        <v>4</v>
      </c>
      <c r="D5" s="7">
        <v>0.16</v>
      </c>
      <c r="E5" s="7">
        <f t="shared" ref="E5" si="0">B5*D5</f>
        <v>0.96</v>
      </c>
    </row>
    <row r="6" spans="1:5" x14ac:dyDescent="0.25">
      <c r="A6" s="3" t="s">
        <v>43</v>
      </c>
      <c r="B6" s="1">
        <v>1</v>
      </c>
      <c r="C6" s="1" t="s">
        <v>4</v>
      </c>
      <c r="D6" s="4">
        <v>4.75</v>
      </c>
      <c r="E6" s="4">
        <f>B6*D6</f>
        <v>4.75</v>
      </c>
    </row>
    <row r="7" spans="1:5" x14ac:dyDescent="0.25">
      <c r="A7" s="3" t="s">
        <v>84</v>
      </c>
      <c r="B7" s="1">
        <v>1</v>
      </c>
      <c r="C7" s="1" t="s">
        <v>4</v>
      </c>
      <c r="D7" s="4">
        <v>0.27</v>
      </c>
      <c r="E7" s="4">
        <f>B7*D7</f>
        <v>0.27</v>
      </c>
    </row>
    <row r="8" spans="1:5" x14ac:dyDescent="0.25">
      <c r="A8" s="3" t="s">
        <v>11</v>
      </c>
      <c r="B8" s="1">
        <v>10</v>
      </c>
      <c r="C8" s="1" t="s">
        <v>10</v>
      </c>
      <c r="D8" s="4">
        <v>0.04</v>
      </c>
      <c r="E8" s="4">
        <f>B8*D8</f>
        <v>0.4</v>
      </c>
    </row>
    <row r="9" spans="1:5" x14ac:dyDescent="0.25">
      <c r="A9" s="3" t="s">
        <v>18</v>
      </c>
      <c r="B9" s="1">
        <v>1</v>
      </c>
      <c r="C9" s="1" t="s">
        <v>4</v>
      </c>
      <c r="D9" s="4">
        <v>0.36</v>
      </c>
      <c r="E9" s="4">
        <f>B9*D9</f>
        <v>0.36</v>
      </c>
    </row>
    <row r="10" spans="1:5" x14ac:dyDescent="0.25">
      <c r="A10" s="3" t="s">
        <v>85</v>
      </c>
      <c r="B10" s="1">
        <v>1</v>
      </c>
      <c r="C10" s="1" t="s">
        <v>86</v>
      </c>
      <c r="D10" s="4">
        <v>0.36</v>
      </c>
      <c r="E10" s="4">
        <f>B10*D10</f>
        <v>0.36</v>
      </c>
    </row>
    <row r="11" spans="1:5" ht="18.75" x14ac:dyDescent="0.25">
      <c r="A11" s="46" t="s">
        <v>12</v>
      </c>
      <c r="B11" s="47"/>
      <c r="C11" s="47"/>
      <c r="D11" s="48"/>
      <c r="E11" s="11">
        <f>SUM(E4:E10)</f>
        <v>27.419999999999998</v>
      </c>
    </row>
    <row r="12" spans="1:5" ht="18.75" x14ac:dyDescent="0.25">
      <c r="A12" s="10"/>
      <c r="B12" s="10"/>
      <c r="C12" s="10"/>
      <c r="D12" s="11"/>
      <c r="E12" s="11"/>
    </row>
    <row r="13" spans="1:5" x14ac:dyDescent="0.25">
      <c r="A13" s="3"/>
      <c r="B13" s="3"/>
      <c r="C13" s="1"/>
      <c r="D13" s="4"/>
      <c r="E13" s="4"/>
    </row>
    <row r="14" spans="1:5" x14ac:dyDescent="0.25">
      <c r="A14" s="3" t="s">
        <v>40</v>
      </c>
      <c r="B14" s="3">
        <v>1</v>
      </c>
      <c r="C14" s="1" t="s">
        <v>13</v>
      </c>
      <c r="D14" s="4">
        <v>17</v>
      </c>
      <c r="E14" s="4">
        <v>17</v>
      </c>
    </row>
    <row r="15" spans="1:5" x14ac:dyDescent="0.25">
      <c r="A15" s="3"/>
      <c r="B15" s="3"/>
      <c r="C15" s="1"/>
      <c r="D15" s="4"/>
      <c r="E15" s="4"/>
    </row>
    <row r="16" spans="1:5" ht="18.75" x14ac:dyDescent="0.25">
      <c r="A16" s="46" t="s">
        <v>15</v>
      </c>
      <c r="B16" s="47"/>
      <c r="C16" s="47"/>
      <c r="D16" s="48"/>
      <c r="E16" s="11">
        <f>SUM(E13:E15)</f>
        <v>17</v>
      </c>
    </row>
    <row r="17" spans="1:6" ht="15.75" x14ac:dyDescent="0.25">
      <c r="A17" s="49" t="s">
        <v>41</v>
      </c>
      <c r="B17" s="50"/>
      <c r="C17" s="50"/>
      <c r="D17" s="51"/>
      <c r="E17" s="13">
        <f>SUM(E16,E11)*61%</f>
        <v>27.0962</v>
      </c>
    </row>
    <row r="18" spans="1:6" ht="18.75" x14ac:dyDescent="0.25">
      <c r="A18" s="46" t="s">
        <v>14</v>
      </c>
      <c r="B18" s="47"/>
      <c r="C18" s="47"/>
      <c r="D18" s="48"/>
      <c r="E18" s="11">
        <f>SUM(E17,E16,E11)</f>
        <v>71.516199999999998</v>
      </c>
    </row>
    <row r="19" spans="1:6" ht="15.75" x14ac:dyDescent="0.25">
      <c r="A19" s="52" t="s">
        <v>16</v>
      </c>
      <c r="B19" s="53"/>
      <c r="C19" s="53"/>
      <c r="D19" s="54"/>
      <c r="E19" s="25">
        <f>(E20-E18)/E18</f>
        <v>2.3558830027322482</v>
      </c>
    </row>
    <row r="20" spans="1:6" ht="18.75" x14ac:dyDescent="0.25">
      <c r="A20" s="44" t="s">
        <v>17</v>
      </c>
      <c r="B20" s="44"/>
      <c r="C20" s="44"/>
      <c r="D20" s="44"/>
      <c r="E20" s="11">
        <v>240</v>
      </c>
      <c r="F20" s="24"/>
    </row>
    <row r="22" spans="1:6" x14ac:dyDescent="0.25">
      <c r="A22" s="27" t="s">
        <v>89</v>
      </c>
      <c r="B22" s="28"/>
      <c r="C22" s="28"/>
      <c r="D22" s="35"/>
    </row>
    <row r="23" spans="1:6" x14ac:dyDescent="0.25">
      <c r="A23" s="33" t="s">
        <v>88</v>
      </c>
      <c r="B23" s="34"/>
    </row>
  </sheetData>
  <sortState xmlns:xlrd2="http://schemas.microsoft.com/office/spreadsheetml/2017/richdata2" ref="A6:E10">
    <sortCondition ref="A5"/>
  </sortState>
  <mergeCells count="7">
    <mergeCell ref="A20:D20"/>
    <mergeCell ref="A1:E2"/>
    <mergeCell ref="A11:D11"/>
    <mergeCell ref="A16:D16"/>
    <mergeCell ref="A17:D17"/>
    <mergeCell ref="A18:D18"/>
    <mergeCell ref="A19:D19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23"/>
  <sheetViews>
    <sheetView workbookViewId="0">
      <selection activeCell="F21" sqref="F21"/>
    </sheetView>
  </sheetViews>
  <sheetFormatPr defaultRowHeight="15" x14ac:dyDescent="0.25"/>
  <cols>
    <col min="1" max="1" width="24.85546875" bestFit="1" customWidth="1"/>
    <col min="2" max="2" width="11.42578125" bestFit="1" customWidth="1"/>
    <col min="3" max="3" width="8.5703125" bestFit="1" customWidth="1"/>
    <col min="4" max="4" width="13.85546875" bestFit="1" customWidth="1"/>
    <col min="5" max="5" width="14.5703125" bestFit="1" customWidth="1"/>
  </cols>
  <sheetData>
    <row r="1" spans="1:5" x14ac:dyDescent="0.25">
      <c r="A1" s="45" t="s">
        <v>27</v>
      </c>
      <c r="B1" s="45"/>
      <c r="C1" s="45"/>
      <c r="D1" s="45"/>
      <c r="E1" s="45"/>
    </row>
    <row r="2" spans="1:5" x14ac:dyDescent="0.25">
      <c r="A2" s="45"/>
      <c r="B2" s="45"/>
      <c r="C2" s="45"/>
      <c r="D2" s="45"/>
      <c r="E2" s="45"/>
    </row>
    <row r="3" spans="1:5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</row>
    <row r="4" spans="1:5" x14ac:dyDescent="0.25">
      <c r="A4" s="31" t="s">
        <v>8</v>
      </c>
      <c r="B4" s="6">
        <v>2</v>
      </c>
      <c r="C4" s="6" t="s">
        <v>10</v>
      </c>
      <c r="D4" s="7">
        <v>14.26</v>
      </c>
      <c r="E4" s="7">
        <f>B4*D4</f>
        <v>28.52</v>
      </c>
    </row>
    <row r="5" spans="1:5" x14ac:dyDescent="0.25">
      <c r="A5" s="3" t="s">
        <v>43</v>
      </c>
      <c r="B5" s="1">
        <v>1</v>
      </c>
      <c r="C5" s="1" t="s">
        <v>4</v>
      </c>
      <c r="D5" s="4">
        <v>4.75</v>
      </c>
      <c r="E5" s="4">
        <f>B5*D5</f>
        <v>4.75</v>
      </c>
    </row>
    <row r="6" spans="1:5" x14ac:dyDescent="0.25">
      <c r="A6" s="3" t="s">
        <v>84</v>
      </c>
      <c r="B6" s="1">
        <v>1</v>
      </c>
      <c r="C6" s="1" t="s">
        <v>4</v>
      </c>
      <c r="D6" s="4">
        <v>0.27</v>
      </c>
      <c r="E6" s="4">
        <f>B6*D6</f>
        <v>0.27</v>
      </c>
    </row>
    <row r="7" spans="1:5" x14ac:dyDescent="0.25">
      <c r="A7" s="5" t="s">
        <v>11</v>
      </c>
      <c r="B7" s="6">
        <v>10</v>
      </c>
      <c r="C7" s="6" t="s">
        <v>10</v>
      </c>
      <c r="D7" s="7">
        <v>0.04</v>
      </c>
      <c r="E7" s="7">
        <f>B7*D7</f>
        <v>0.4</v>
      </c>
    </row>
    <row r="8" spans="1:5" x14ac:dyDescent="0.25">
      <c r="A8" s="5" t="s">
        <v>18</v>
      </c>
      <c r="B8" s="6">
        <v>1</v>
      </c>
      <c r="C8" s="6" t="s">
        <v>4</v>
      </c>
      <c r="D8" s="7">
        <v>0.36</v>
      </c>
      <c r="E8" s="7">
        <f>B8*D8</f>
        <v>0.36</v>
      </c>
    </row>
    <row r="9" spans="1:5" x14ac:dyDescent="0.25">
      <c r="A9" s="31" t="s">
        <v>24</v>
      </c>
      <c r="B9" s="6">
        <v>0.6</v>
      </c>
      <c r="C9" s="6" t="s">
        <v>45</v>
      </c>
      <c r="D9" s="4">
        <v>1.02</v>
      </c>
      <c r="E9" s="7">
        <v>6</v>
      </c>
    </row>
    <row r="10" spans="1:5" x14ac:dyDescent="0.25">
      <c r="A10" s="3" t="s">
        <v>85</v>
      </c>
      <c r="B10" s="1">
        <v>1</v>
      </c>
      <c r="C10" s="1" t="s">
        <v>86</v>
      </c>
      <c r="D10" s="4">
        <v>0.36</v>
      </c>
      <c r="E10" s="4">
        <f>B10*D10</f>
        <v>0.36</v>
      </c>
    </row>
    <row r="11" spans="1:5" x14ac:dyDescent="0.25">
      <c r="A11" s="31" t="s">
        <v>23</v>
      </c>
      <c r="B11" s="6">
        <v>1</v>
      </c>
      <c r="C11" s="6" t="s">
        <v>4</v>
      </c>
      <c r="D11" s="7">
        <v>2.39</v>
      </c>
      <c r="E11" s="7">
        <f>B11*D11</f>
        <v>2.39</v>
      </c>
    </row>
    <row r="12" spans="1:5" ht="30" customHeight="1" x14ac:dyDescent="0.25">
      <c r="A12" s="46" t="s">
        <v>12</v>
      </c>
      <c r="B12" s="47"/>
      <c r="C12" s="47"/>
      <c r="D12" s="48"/>
      <c r="E12" s="11">
        <f>SUM(E4:E11)</f>
        <v>43.05</v>
      </c>
    </row>
    <row r="13" spans="1:5" ht="12.75" customHeight="1" x14ac:dyDescent="0.25">
      <c r="A13" s="19"/>
      <c r="B13" s="20"/>
      <c r="C13" s="20"/>
      <c r="D13" s="21"/>
      <c r="E13" s="11"/>
    </row>
    <row r="14" spans="1:5" x14ac:dyDescent="0.25">
      <c r="A14" s="3"/>
      <c r="B14" s="3"/>
      <c r="C14" s="1"/>
      <c r="D14" s="4"/>
      <c r="E14" s="4">
        <f>B14*D14</f>
        <v>0</v>
      </c>
    </row>
    <row r="15" spans="1:5" x14ac:dyDescent="0.25">
      <c r="A15" s="3" t="s">
        <v>40</v>
      </c>
      <c r="B15" s="3">
        <v>1</v>
      </c>
      <c r="C15" s="1" t="s">
        <v>13</v>
      </c>
      <c r="D15" s="4">
        <v>17</v>
      </c>
      <c r="E15" s="4">
        <v>17</v>
      </c>
    </row>
    <row r="16" spans="1:5" x14ac:dyDescent="0.25">
      <c r="A16" s="3"/>
      <c r="B16" s="3"/>
      <c r="C16" s="1"/>
      <c r="D16" s="4"/>
      <c r="E16" s="4">
        <f t="shared" ref="E16" si="0">B16*D16</f>
        <v>0</v>
      </c>
    </row>
    <row r="17" spans="1:6" ht="30" customHeight="1" x14ac:dyDescent="0.25">
      <c r="A17" s="46" t="s">
        <v>15</v>
      </c>
      <c r="B17" s="47"/>
      <c r="C17" s="47"/>
      <c r="D17" s="48"/>
      <c r="E17" s="11">
        <f>SUM(E14:E16)</f>
        <v>17</v>
      </c>
    </row>
    <row r="18" spans="1:6" ht="15.75" x14ac:dyDescent="0.25">
      <c r="A18" s="49" t="s">
        <v>41</v>
      </c>
      <c r="B18" s="50"/>
      <c r="C18" s="50"/>
      <c r="D18" s="51"/>
      <c r="E18" s="13">
        <f>SUM(E17,E12)*61%</f>
        <v>36.630499999999998</v>
      </c>
    </row>
    <row r="19" spans="1:6" ht="30" customHeight="1" x14ac:dyDescent="0.25">
      <c r="A19" s="46" t="s">
        <v>14</v>
      </c>
      <c r="B19" s="47"/>
      <c r="C19" s="47"/>
      <c r="D19" s="48"/>
      <c r="E19" s="11">
        <f>E12+E17+E18</f>
        <v>96.680499999999995</v>
      </c>
    </row>
    <row r="20" spans="1:6" ht="15.75" x14ac:dyDescent="0.25">
      <c r="A20" s="52" t="s">
        <v>16</v>
      </c>
      <c r="B20" s="53"/>
      <c r="C20" s="53"/>
      <c r="D20" s="54"/>
      <c r="E20" s="12">
        <f>(E21-E19)/E19</f>
        <v>2.2064376994326675</v>
      </c>
    </row>
    <row r="21" spans="1:6" ht="30" customHeight="1" x14ac:dyDescent="0.25">
      <c r="A21" s="46" t="s">
        <v>17</v>
      </c>
      <c r="B21" s="47"/>
      <c r="C21" s="47"/>
      <c r="D21" s="48"/>
      <c r="E21" s="11">
        <v>310</v>
      </c>
      <c r="F21" s="24"/>
    </row>
    <row r="23" spans="1:6" x14ac:dyDescent="0.25">
      <c r="A23" s="3" t="s">
        <v>88</v>
      </c>
      <c r="B23" s="31"/>
    </row>
  </sheetData>
  <sortState xmlns:xlrd2="http://schemas.microsoft.com/office/spreadsheetml/2017/richdata2" ref="A5:E11">
    <sortCondition ref="A5"/>
  </sortState>
  <mergeCells count="7">
    <mergeCell ref="A21:D21"/>
    <mergeCell ref="A1:E2"/>
    <mergeCell ref="A12:D12"/>
    <mergeCell ref="A17:D17"/>
    <mergeCell ref="A18:D18"/>
    <mergeCell ref="A19:D19"/>
    <mergeCell ref="A20:D20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L46"/>
  <sheetViews>
    <sheetView topLeftCell="A19" workbookViewId="0">
      <selection activeCell="F44" sqref="F44"/>
    </sheetView>
  </sheetViews>
  <sheetFormatPr defaultRowHeight="15" x14ac:dyDescent="0.25"/>
  <cols>
    <col min="1" max="1" width="24.85546875" bestFit="1" customWidth="1"/>
    <col min="2" max="2" width="11.42578125" bestFit="1" customWidth="1"/>
    <col min="3" max="3" width="8.5703125" bestFit="1" customWidth="1"/>
    <col min="4" max="4" width="13.85546875" bestFit="1" customWidth="1"/>
    <col min="5" max="5" width="18.140625" bestFit="1" customWidth="1"/>
    <col min="7" max="7" width="24.85546875" bestFit="1" customWidth="1"/>
    <col min="8" max="8" width="11.42578125" bestFit="1" customWidth="1"/>
    <col min="9" max="9" width="8.5703125" bestFit="1" customWidth="1"/>
    <col min="10" max="10" width="13.85546875" bestFit="1" customWidth="1"/>
    <col min="11" max="11" width="18.140625" bestFit="1" customWidth="1"/>
  </cols>
  <sheetData>
    <row r="1" spans="1:11" ht="15" customHeight="1" x14ac:dyDescent="0.25">
      <c r="A1" s="45" t="s">
        <v>117</v>
      </c>
      <c r="B1" s="45"/>
      <c r="C1" s="45"/>
      <c r="D1" s="45"/>
      <c r="E1" s="45"/>
      <c r="G1" s="45" t="s">
        <v>96</v>
      </c>
      <c r="H1" s="45"/>
      <c r="I1" s="45"/>
      <c r="J1" s="45"/>
      <c r="K1" s="45"/>
    </row>
    <row r="2" spans="1:11" ht="15" customHeight="1" x14ac:dyDescent="0.25">
      <c r="A2" s="45"/>
      <c r="B2" s="45"/>
      <c r="C2" s="45"/>
      <c r="D2" s="45"/>
      <c r="E2" s="45"/>
      <c r="G2" s="45"/>
      <c r="H2" s="45"/>
      <c r="I2" s="45"/>
      <c r="J2" s="45"/>
      <c r="K2" s="45"/>
    </row>
    <row r="3" spans="1:11" ht="16.5" customHeight="1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  <c r="G3" s="2" t="s">
        <v>7</v>
      </c>
      <c r="H3" s="2" t="s">
        <v>3</v>
      </c>
      <c r="I3" s="2" t="s">
        <v>4</v>
      </c>
      <c r="J3" s="2" t="s">
        <v>6</v>
      </c>
      <c r="K3" s="2" t="s">
        <v>5</v>
      </c>
    </row>
    <row r="4" spans="1:11" x14ac:dyDescent="0.25">
      <c r="A4" s="31" t="s">
        <v>37</v>
      </c>
      <c r="B4" s="1">
        <v>2</v>
      </c>
      <c r="C4" s="1" t="s">
        <v>10</v>
      </c>
      <c r="D4" s="4">
        <v>10.16</v>
      </c>
      <c r="E4" s="4">
        <f>B4*D4</f>
        <v>20.32</v>
      </c>
      <c r="G4" s="31" t="s">
        <v>106</v>
      </c>
      <c r="H4" s="1">
        <v>2</v>
      </c>
      <c r="I4" s="1" t="s">
        <v>10</v>
      </c>
      <c r="J4" s="4">
        <v>18.39</v>
      </c>
      <c r="K4" s="4">
        <f>H4*J4</f>
        <v>36.78</v>
      </c>
    </row>
    <row r="5" spans="1:11" ht="16.5" customHeight="1" x14ac:dyDescent="0.25">
      <c r="A5" s="31" t="s">
        <v>51</v>
      </c>
      <c r="B5" s="6">
        <v>5</v>
      </c>
      <c r="C5" s="6" t="s">
        <v>4</v>
      </c>
      <c r="D5" s="7">
        <v>0.16</v>
      </c>
      <c r="E5" s="7">
        <f t="shared" ref="E5" si="0">B5*D5</f>
        <v>0.8</v>
      </c>
      <c r="G5" s="31" t="s">
        <v>51</v>
      </c>
      <c r="H5" s="6">
        <v>5</v>
      </c>
      <c r="I5" s="6" t="s">
        <v>4</v>
      </c>
      <c r="J5" s="7">
        <v>0.16</v>
      </c>
      <c r="K5" s="7">
        <f t="shared" ref="K5" si="1">H5*J5</f>
        <v>0.8</v>
      </c>
    </row>
    <row r="6" spans="1:11" x14ac:dyDescent="0.25">
      <c r="A6" s="3" t="s">
        <v>43</v>
      </c>
      <c r="B6" s="1">
        <v>1</v>
      </c>
      <c r="C6" s="1" t="s">
        <v>4</v>
      </c>
      <c r="D6" s="4">
        <v>4.75</v>
      </c>
      <c r="E6" s="4">
        <f>B6*D6</f>
        <v>4.75</v>
      </c>
      <c r="G6" s="3" t="s">
        <v>43</v>
      </c>
      <c r="H6" s="1">
        <v>1</v>
      </c>
      <c r="I6" s="1" t="s">
        <v>4</v>
      </c>
      <c r="J6" s="4">
        <v>4.75</v>
      </c>
      <c r="K6" s="4">
        <f>H6*J6</f>
        <v>4.75</v>
      </c>
    </row>
    <row r="7" spans="1:11" x14ac:dyDescent="0.25">
      <c r="A7" s="3" t="s">
        <v>84</v>
      </c>
      <c r="B7" s="1">
        <v>1</v>
      </c>
      <c r="C7" s="1" t="s">
        <v>4</v>
      </c>
      <c r="D7" s="4">
        <v>0.27</v>
      </c>
      <c r="E7" s="4">
        <f>B7*D7</f>
        <v>0.27</v>
      </c>
      <c r="G7" s="3" t="s">
        <v>84</v>
      </c>
      <c r="H7" s="1">
        <v>1</v>
      </c>
      <c r="I7" s="1" t="s">
        <v>4</v>
      </c>
      <c r="J7" s="4">
        <v>0.27</v>
      </c>
      <c r="K7" s="4">
        <f>H7*J7</f>
        <v>0.27</v>
      </c>
    </row>
    <row r="8" spans="1:11" x14ac:dyDescent="0.25">
      <c r="A8" s="3" t="s">
        <v>11</v>
      </c>
      <c r="B8" s="1">
        <v>10</v>
      </c>
      <c r="C8" s="1" t="s">
        <v>10</v>
      </c>
      <c r="D8" s="4">
        <v>0.04</v>
      </c>
      <c r="E8" s="4">
        <f>B8*D8</f>
        <v>0.4</v>
      </c>
      <c r="G8" s="3" t="s">
        <v>11</v>
      </c>
      <c r="H8" s="1">
        <v>10</v>
      </c>
      <c r="I8" s="1" t="s">
        <v>10</v>
      </c>
      <c r="J8" s="4">
        <v>0.02</v>
      </c>
      <c r="K8" s="4">
        <f>H8*J8</f>
        <v>0.2</v>
      </c>
    </row>
    <row r="9" spans="1:11" x14ac:dyDescent="0.25">
      <c r="A9" s="3" t="s">
        <v>18</v>
      </c>
      <c r="B9" s="1">
        <v>1</v>
      </c>
      <c r="C9" s="1" t="s">
        <v>4</v>
      </c>
      <c r="D9" s="4">
        <v>0.36</v>
      </c>
      <c r="E9" s="4">
        <f>B9*D9</f>
        <v>0.36</v>
      </c>
      <c r="G9" s="3" t="s">
        <v>18</v>
      </c>
      <c r="H9" s="1">
        <v>1</v>
      </c>
      <c r="I9" s="1" t="s">
        <v>4</v>
      </c>
      <c r="J9" s="4">
        <v>0.36</v>
      </c>
      <c r="K9" s="4">
        <f>H9*J9</f>
        <v>0.36</v>
      </c>
    </row>
    <row r="10" spans="1:11" x14ac:dyDescent="0.25">
      <c r="A10" s="31" t="s">
        <v>24</v>
      </c>
      <c r="B10" s="1">
        <v>0.3</v>
      </c>
      <c r="C10" s="1" t="s">
        <v>46</v>
      </c>
      <c r="D10" s="4">
        <v>1.02</v>
      </c>
      <c r="E10" s="4">
        <v>2.9</v>
      </c>
      <c r="G10" s="31" t="s">
        <v>24</v>
      </c>
      <c r="H10" s="1">
        <v>0.3</v>
      </c>
      <c r="I10" s="1" t="s">
        <v>46</v>
      </c>
      <c r="J10" s="4">
        <v>1.02</v>
      </c>
      <c r="K10" s="4">
        <v>2.6</v>
      </c>
    </row>
    <row r="11" spans="1:11" x14ac:dyDescent="0.25">
      <c r="A11" s="3" t="s">
        <v>85</v>
      </c>
      <c r="B11" s="1">
        <v>1</v>
      </c>
      <c r="C11" s="1" t="s">
        <v>86</v>
      </c>
      <c r="D11" s="4">
        <v>0.36</v>
      </c>
      <c r="E11" s="4">
        <f>B11*D11</f>
        <v>0.36</v>
      </c>
      <c r="G11" s="3" t="s">
        <v>85</v>
      </c>
      <c r="H11" s="1">
        <v>1</v>
      </c>
      <c r="I11" s="1" t="s">
        <v>86</v>
      </c>
      <c r="J11" s="4">
        <v>0.36</v>
      </c>
      <c r="K11" s="4">
        <f>H11*J11</f>
        <v>0.36</v>
      </c>
    </row>
    <row r="12" spans="1:11" ht="18.75" x14ac:dyDescent="0.25">
      <c r="A12" s="46" t="s">
        <v>12</v>
      </c>
      <c r="B12" s="47"/>
      <c r="C12" s="47"/>
      <c r="D12" s="48"/>
      <c r="E12" s="11">
        <f>SUM(E4:E11)</f>
        <v>30.159999999999997</v>
      </c>
      <c r="G12" s="46" t="s">
        <v>12</v>
      </c>
      <c r="H12" s="47"/>
      <c r="I12" s="47"/>
      <c r="J12" s="48"/>
      <c r="K12" s="11">
        <f>SUM(K4:K11)</f>
        <v>46.120000000000005</v>
      </c>
    </row>
    <row r="13" spans="1:11" ht="18.75" x14ac:dyDescent="0.25">
      <c r="A13" s="10"/>
      <c r="B13" s="10"/>
      <c r="C13" s="10"/>
      <c r="D13" s="11"/>
      <c r="E13" s="11"/>
      <c r="G13" s="10"/>
      <c r="H13" s="10"/>
      <c r="I13" s="10"/>
      <c r="J13" s="11"/>
      <c r="K13" s="11"/>
    </row>
    <row r="14" spans="1:11" x14ac:dyDescent="0.25">
      <c r="A14" s="3"/>
      <c r="B14" s="3"/>
      <c r="C14" s="1"/>
      <c r="D14" s="4"/>
      <c r="E14" s="4"/>
      <c r="G14" s="3"/>
      <c r="H14" s="3"/>
      <c r="I14" s="1"/>
      <c r="J14" s="4"/>
      <c r="K14" s="4"/>
    </row>
    <row r="15" spans="1:11" x14ac:dyDescent="0.25">
      <c r="A15" s="3" t="s">
        <v>40</v>
      </c>
      <c r="B15" s="3">
        <v>1</v>
      </c>
      <c r="C15" s="1" t="s">
        <v>13</v>
      </c>
      <c r="D15" s="4">
        <v>17</v>
      </c>
      <c r="E15" s="4">
        <v>17</v>
      </c>
      <c r="G15" s="3" t="s">
        <v>40</v>
      </c>
      <c r="H15" s="3">
        <v>1</v>
      </c>
      <c r="I15" s="1" t="s">
        <v>13</v>
      </c>
      <c r="J15" s="4">
        <v>17</v>
      </c>
      <c r="K15" s="4">
        <v>17</v>
      </c>
    </row>
    <row r="16" spans="1:11" x14ac:dyDescent="0.25">
      <c r="A16" s="3"/>
      <c r="B16" s="3"/>
      <c r="C16" s="1"/>
      <c r="D16" s="4"/>
      <c r="E16" s="4"/>
      <c r="G16" s="3"/>
      <c r="H16" s="3"/>
      <c r="I16" s="1"/>
      <c r="J16" s="4"/>
      <c r="K16" s="4"/>
    </row>
    <row r="17" spans="1:12" ht="18.75" x14ac:dyDescent="0.25">
      <c r="A17" s="46" t="s">
        <v>15</v>
      </c>
      <c r="B17" s="47"/>
      <c r="C17" s="47"/>
      <c r="D17" s="48"/>
      <c r="E17" s="11">
        <f>SUM(E14:E16)</f>
        <v>17</v>
      </c>
      <c r="G17" s="46" t="s">
        <v>15</v>
      </c>
      <c r="H17" s="47"/>
      <c r="I17" s="47"/>
      <c r="J17" s="48"/>
      <c r="K17" s="11">
        <f>SUM(K14:K16)</f>
        <v>17</v>
      </c>
    </row>
    <row r="18" spans="1:12" ht="15.75" x14ac:dyDescent="0.25">
      <c r="A18" s="49" t="s">
        <v>41</v>
      </c>
      <c r="B18" s="50"/>
      <c r="C18" s="50"/>
      <c r="D18" s="51"/>
      <c r="E18" s="13">
        <f>SUM(E17,E12)*61%</f>
        <v>28.767599999999998</v>
      </c>
      <c r="G18" s="49" t="s">
        <v>41</v>
      </c>
      <c r="H18" s="50"/>
      <c r="I18" s="50"/>
      <c r="J18" s="51"/>
      <c r="K18" s="13">
        <f>SUM(K17,K12)*61%</f>
        <v>38.5032</v>
      </c>
    </row>
    <row r="19" spans="1:12" ht="18.75" x14ac:dyDescent="0.25">
      <c r="A19" s="46" t="s">
        <v>14</v>
      </c>
      <c r="B19" s="47"/>
      <c r="C19" s="47"/>
      <c r="D19" s="48"/>
      <c r="E19" s="11">
        <f>SUM(E18,E17,E12)</f>
        <v>75.927599999999998</v>
      </c>
      <c r="G19" s="46" t="s">
        <v>14</v>
      </c>
      <c r="H19" s="47"/>
      <c r="I19" s="47"/>
      <c r="J19" s="48"/>
      <c r="K19" s="11">
        <f>SUM(K18,K17,K12)</f>
        <v>101.6232</v>
      </c>
    </row>
    <row r="20" spans="1:12" ht="15.75" x14ac:dyDescent="0.25">
      <c r="A20" s="52" t="s">
        <v>16</v>
      </c>
      <c r="B20" s="53"/>
      <c r="C20" s="53"/>
      <c r="D20" s="54"/>
      <c r="E20" s="25">
        <f>(E21-E19)/E19</f>
        <v>1.6340882630295177</v>
      </c>
      <c r="G20" s="52" t="s">
        <v>16</v>
      </c>
      <c r="H20" s="53"/>
      <c r="I20" s="53"/>
      <c r="J20" s="54"/>
      <c r="K20" s="25">
        <f>(K21-K19)/K19</f>
        <v>0.96805453872737723</v>
      </c>
    </row>
    <row r="21" spans="1:12" ht="18.75" x14ac:dyDescent="0.25">
      <c r="A21" s="44" t="s">
        <v>17</v>
      </c>
      <c r="B21" s="44"/>
      <c r="C21" s="44"/>
      <c r="D21" s="44"/>
      <c r="E21" s="11">
        <v>200</v>
      </c>
      <c r="F21" s="24"/>
      <c r="G21" s="44" t="s">
        <v>17</v>
      </c>
      <c r="H21" s="44"/>
      <c r="I21" s="44"/>
      <c r="J21" s="44"/>
      <c r="K21" s="11">
        <v>200</v>
      </c>
      <c r="L21" s="24"/>
    </row>
    <row r="23" spans="1:12" x14ac:dyDescent="0.25">
      <c r="A23" s="45" t="s">
        <v>97</v>
      </c>
      <c r="B23" s="45"/>
      <c r="C23" s="45"/>
      <c r="D23" s="45"/>
      <c r="E23" s="45"/>
    </row>
    <row r="24" spans="1:12" x14ac:dyDescent="0.25">
      <c r="A24" s="45"/>
      <c r="B24" s="45"/>
      <c r="C24" s="45"/>
      <c r="D24" s="45"/>
      <c r="E24" s="45"/>
    </row>
    <row r="25" spans="1:12" x14ac:dyDescent="0.25">
      <c r="A25" s="2" t="s">
        <v>7</v>
      </c>
      <c r="B25" s="2" t="s">
        <v>3</v>
      </c>
      <c r="C25" s="2" t="s">
        <v>4</v>
      </c>
      <c r="D25" s="2" t="s">
        <v>6</v>
      </c>
      <c r="E25" s="2" t="s">
        <v>5</v>
      </c>
    </row>
    <row r="26" spans="1:12" x14ac:dyDescent="0.25">
      <c r="A26" s="31" t="s">
        <v>37</v>
      </c>
      <c r="B26" s="1">
        <v>2</v>
      </c>
      <c r="C26" s="1" t="s">
        <v>10</v>
      </c>
      <c r="D26" s="4">
        <v>10.16</v>
      </c>
      <c r="E26" s="4">
        <f>B26*D26</f>
        <v>20.32</v>
      </c>
    </row>
    <row r="27" spans="1:12" x14ac:dyDescent="0.25">
      <c r="A27" s="31" t="s">
        <v>98</v>
      </c>
      <c r="B27" s="1">
        <v>2</v>
      </c>
      <c r="C27" s="1" t="s">
        <v>10</v>
      </c>
      <c r="D27" s="4">
        <f>1+6.69</f>
        <v>7.69</v>
      </c>
      <c r="E27" s="7">
        <f t="shared" ref="E27:E28" si="2">B27*D27</f>
        <v>15.38</v>
      </c>
    </row>
    <row r="28" spans="1:12" x14ac:dyDescent="0.25">
      <c r="A28" s="31" t="s">
        <v>51</v>
      </c>
      <c r="B28" s="6">
        <v>5</v>
      </c>
      <c r="C28" s="6" t="s">
        <v>4</v>
      </c>
      <c r="D28" s="7">
        <v>0.16</v>
      </c>
      <c r="E28" s="7">
        <f t="shared" si="2"/>
        <v>0.8</v>
      </c>
    </row>
    <row r="29" spans="1:12" x14ac:dyDescent="0.25">
      <c r="A29" s="3" t="s">
        <v>43</v>
      </c>
      <c r="B29" s="1">
        <v>1</v>
      </c>
      <c r="C29" s="1" t="s">
        <v>4</v>
      </c>
      <c r="D29" s="4">
        <v>4.75</v>
      </c>
      <c r="E29" s="4">
        <f>B29*D29</f>
        <v>4.75</v>
      </c>
    </row>
    <row r="30" spans="1:12" x14ac:dyDescent="0.25">
      <c r="A30" s="3" t="s">
        <v>84</v>
      </c>
      <c r="B30" s="1">
        <v>1</v>
      </c>
      <c r="C30" s="1" t="s">
        <v>4</v>
      </c>
      <c r="D30" s="4">
        <v>0.27</v>
      </c>
      <c r="E30" s="4">
        <f>B30*D30</f>
        <v>0.27</v>
      </c>
    </row>
    <row r="31" spans="1:12" x14ac:dyDescent="0.25">
      <c r="A31" s="3" t="s">
        <v>11</v>
      </c>
      <c r="B31" s="1">
        <v>10</v>
      </c>
      <c r="C31" s="1" t="s">
        <v>10</v>
      </c>
      <c r="D31" s="4">
        <v>0.04</v>
      </c>
      <c r="E31" s="4">
        <f>B31*D31</f>
        <v>0.4</v>
      </c>
    </row>
    <row r="32" spans="1:12" x14ac:dyDescent="0.25">
      <c r="A32" s="3" t="s">
        <v>18</v>
      </c>
      <c r="B32" s="1">
        <v>1</v>
      </c>
      <c r="C32" s="1" t="s">
        <v>4</v>
      </c>
      <c r="D32" s="4">
        <v>0.36</v>
      </c>
      <c r="E32" s="4">
        <f>B32*D32</f>
        <v>0.36</v>
      </c>
    </row>
    <row r="33" spans="1:6" x14ac:dyDescent="0.25">
      <c r="A33" s="31" t="s">
        <v>24</v>
      </c>
      <c r="B33" s="1">
        <v>0.3</v>
      </c>
      <c r="C33" s="1" t="s">
        <v>46</v>
      </c>
      <c r="D33" s="4">
        <v>1.02</v>
      </c>
      <c r="E33" s="4">
        <v>2.9</v>
      </c>
    </row>
    <row r="34" spans="1:6" x14ac:dyDescent="0.25">
      <c r="A34" s="3" t="s">
        <v>85</v>
      </c>
      <c r="B34" s="1">
        <v>1</v>
      </c>
      <c r="C34" s="1" t="s">
        <v>86</v>
      </c>
      <c r="D34" s="4">
        <v>0.36</v>
      </c>
      <c r="E34" s="4">
        <f>B34*D34</f>
        <v>0.36</v>
      </c>
    </row>
    <row r="35" spans="1:6" ht="18.75" x14ac:dyDescent="0.25">
      <c r="A35" s="46" t="s">
        <v>12</v>
      </c>
      <c r="B35" s="47"/>
      <c r="C35" s="47"/>
      <c r="D35" s="48"/>
      <c r="E35" s="11">
        <f>SUM(E26:E34)</f>
        <v>45.54</v>
      </c>
    </row>
    <row r="36" spans="1:6" ht="18.75" x14ac:dyDescent="0.25">
      <c r="A36" s="10"/>
      <c r="B36" s="10"/>
      <c r="C36" s="10"/>
      <c r="D36" s="11"/>
      <c r="E36" s="11"/>
    </row>
    <row r="37" spans="1:6" x14ac:dyDescent="0.25">
      <c r="A37" s="3"/>
      <c r="B37" s="3"/>
      <c r="C37" s="1"/>
      <c r="D37" s="4"/>
      <c r="E37" s="4"/>
    </row>
    <row r="38" spans="1:6" x14ac:dyDescent="0.25">
      <c r="A38" s="3" t="s">
        <v>40</v>
      </c>
      <c r="B38" s="3">
        <v>1</v>
      </c>
      <c r="C38" s="1" t="s">
        <v>13</v>
      </c>
      <c r="D38" s="4">
        <v>17</v>
      </c>
      <c r="E38" s="4">
        <f t="shared" ref="E38" si="3">B38*D38</f>
        <v>17</v>
      </c>
    </row>
    <row r="39" spans="1:6" x14ac:dyDescent="0.25">
      <c r="A39" s="3"/>
      <c r="B39" s="3"/>
      <c r="C39" s="1"/>
      <c r="D39" s="4"/>
      <c r="E39" s="4"/>
    </row>
    <row r="40" spans="1:6" ht="18.75" x14ac:dyDescent="0.25">
      <c r="A40" s="46" t="s">
        <v>15</v>
      </c>
      <c r="B40" s="47"/>
      <c r="C40" s="47"/>
      <c r="D40" s="48"/>
      <c r="E40" s="11">
        <f>SUM(E37:E39)</f>
        <v>17</v>
      </c>
    </row>
    <row r="41" spans="1:6" ht="15.75" x14ac:dyDescent="0.25">
      <c r="A41" s="49" t="s">
        <v>41</v>
      </c>
      <c r="B41" s="50"/>
      <c r="C41" s="50"/>
      <c r="D41" s="51"/>
      <c r="E41" s="13">
        <f>SUM(E40,E35)*61%</f>
        <v>38.1494</v>
      </c>
    </row>
    <row r="42" spans="1:6" ht="18.75" x14ac:dyDescent="0.25">
      <c r="A42" s="46" t="s">
        <v>14</v>
      </c>
      <c r="B42" s="47"/>
      <c r="C42" s="47"/>
      <c r="D42" s="48"/>
      <c r="E42" s="11">
        <f>SUM(E41,E40,E35)</f>
        <v>100.68940000000001</v>
      </c>
    </row>
    <row r="43" spans="1:6" ht="15.75" x14ac:dyDescent="0.25">
      <c r="A43" s="52" t="s">
        <v>16</v>
      </c>
      <c r="B43" s="53"/>
      <c r="C43" s="53"/>
      <c r="D43" s="54"/>
      <c r="E43" s="25">
        <f>(E44-E42)/E42</f>
        <v>1.3835676843838576</v>
      </c>
    </row>
    <row r="44" spans="1:6" ht="18.75" x14ac:dyDescent="0.25">
      <c r="A44" s="44" t="s">
        <v>17</v>
      </c>
      <c r="B44" s="44"/>
      <c r="C44" s="44"/>
      <c r="D44" s="44"/>
      <c r="E44" s="11">
        <v>240</v>
      </c>
      <c r="F44" s="24"/>
    </row>
    <row r="46" spans="1:6" x14ac:dyDescent="0.25">
      <c r="A46" s="3" t="s">
        <v>88</v>
      </c>
      <c r="B46" s="31"/>
    </row>
  </sheetData>
  <sortState xmlns:xlrd2="http://schemas.microsoft.com/office/spreadsheetml/2017/richdata2" ref="A6:E11">
    <sortCondition ref="A5"/>
  </sortState>
  <mergeCells count="21">
    <mergeCell ref="G20:J20"/>
    <mergeCell ref="G21:J21"/>
    <mergeCell ref="G1:K2"/>
    <mergeCell ref="G12:J12"/>
    <mergeCell ref="G17:J17"/>
    <mergeCell ref="G18:J18"/>
    <mergeCell ref="G19:J19"/>
    <mergeCell ref="A41:D41"/>
    <mergeCell ref="A42:D42"/>
    <mergeCell ref="A43:D43"/>
    <mergeCell ref="A44:D44"/>
    <mergeCell ref="A1:E2"/>
    <mergeCell ref="A12:D12"/>
    <mergeCell ref="A17:D17"/>
    <mergeCell ref="A18:D18"/>
    <mergeCell ref="A19:D19"/>
    <mergeCell ref="A20:D20"/>
    <mergeCell ref="A21:D21"/>
    <mergeCell ref="A23:E24"/>
    <mergeCell ref="A35:D35"/>
    <mergeCell ref="A40:D40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L22"/>
  <sheetViews>
    <sheetView topLeftCell="A4" workbookViewId="0">
      <selection activeCell="L21" sqref="L21"/>
    </sheetView>
  </sheetViews>
  <sheetFormatPr defaultRowHeight="15" x14ac:dyDescent="0.25"/>
  <cols>
    <col min="1" max="1" width="24.85546875" bestFit="1" customWidth="1"/>
    <col min="2" max="2" width="11.42578125" bestFit="1" customWidth="1"/>
    <col min="3" max="3" width="8.5703125" bestFit="1" customWidth="1"/>
    <col min="4" max="4" width="13.85546875" bestFit="1" customWidth="1"/>
    <col min="5" max="5" width="14.5703125" bestFit="1" customWidth="1"/>
    <col min="7" max="7" width="21.42578125" bestFit="1" customWidth="1"/>
    <col min="8" max="8" width="11.42578125" bestFit="1" customWidth="1"/>
    <col min="10" max="10" width="13.85546875" bestFit="1" customWidth="1"/>
    <col min="11" max="11" width="20.140625" customWidth="1"/>
  </cols>
  <sheetData>
    <row r="1" spans="1:11" ht="15" customHeight="1" x14ac:dyDescent="0.25">
      <c r="A1" s="45" t="s">
        <v>118</v>
      </c>
      <c r="B1" s="45"/>
      <c r="C1" s="45"/>
      <c r="D1" s="45"/>
      <c r="E1" s="45"/>
      <c r="G1" s="45" t="s">
        <v>48</v>
      </c>
      <c r="H1" s="45"/>
      <c r="I1" s="45"/>
      <c r="J1" s="45"/>
      <c r="K1" s="45"/>
    </row>
    <row r="2" spans="1:11" ht="15" customHeight="1" x14ac:dyDescent="0.25">
      <c r="A2" s="45"/>
      <c r="B2" s="45"/>
      <c r="C2" s="45"/>
      <c r="D2" s="45"/>
      <c r="E2" s="45"/>
      <c r="G2" s="45"/>
      <c r="H2" s="45"/>
      <c r="I2" s="45"/>
      <c r="J2" s="45"/>
      <c r="K2" s="45"/>
    </row>
    <row r="3" spans="1:11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  <c r="G3" s="2" t="s">
        <v>7</v>
      </c>
      <c r="H3" s="2" t="s">
        <v>3</v>
      </c>
      <c r="I3" s="2" t="s">
        <v>4</v>
      </c>
      <c r="J3" s="2" t="s">
        <v>6</v>
      </c>
      <c r="K3" s="2" t="s">
        <v>5</v>
      </c>
    </row>
    <row r="4" spans="1:11" x14ac:dyDescent="0.25">
      <c r="A4" s="31" t="s">
        <v>37</v>
      </c>
      <c r="B4" s="6">
        <v>3</v>
      </c>
      <c r="C4" s="6" t="s">
        <v>10</v>
      </c>
      <c r="D4" s="4">
        <v>10.16</v>
      </c>
      <c r="E4" s="7">
        <f t="shared" ref="E4:E11" si="0">B4*D4</f>
        <v>30.48</v>
      </c>
      <c r="G4" s="31" t="s">
        <v>37</v>
      </c>
      <c r="H4" s="6">
        <v>3</v>
      </c>
      <c r="I4" s="6" t="s">
        <v>10</v>
      </c>
      <c r="J4" s="4">
        <v>10.16</v>
      </c>
      <c r="K4" s="7">
        <f t="shared" ref="K4:K11" si="1">H4*J4</f>
        <v>30.48</v>
      </c>
    </row>
    <row r="5" spans="1:11" x14ac:dyDescent="0.25">
      <c r="A5" s="5" t="s">
        <v>38</v>
      </c>
      <c r="B5" s="6">
        <v>1.3</v>
      </c>
      <c r="C5" s="6" t="s">
        <v>10</v>
      </c>
      <c r="D5" s="7">
        <v>0.5</v>
      </c>
      <c r="E5" s="7">
        <f t="shared" si="0"/>
        <v>0.65</v>
      </c>
      <c r="G5" s="5" t="s">
        <v>38</v>
      </c>
      <c r="H5" s="6">
        <v>1.6</v>
      </c>
      <c r="I5" s="6" t="s">
        <v>10</v>
      </c>
      <c r="J5" s="7">
        <v>0.5</v>
      </c>
      <c r="K5" s="7">
        <f t="shared" si="1"/>
        <v>0.8</v>
      </c>
    </row>
    <row r="6" spans="1:11" x14ac:dyDescent="0.25">
      <c r="A6" s="3" t="s">
        <v>43</v>
      </c>
      <c r="B6" s="1">
        <v>1</v>
      </c>
      <c r="C6" s="1" t="s">
        <v>4</v>
      </c>
      <c r="D6" s="4">
        <v>4.75</v>
      </c>
      <c r="E6" s="4">
        <f t="shared" si="0"/>
        <v>4.75</v>
      </c>
      <c r="G6" s="3" t="s">
        <v>43</v>
      </c>
      <c r="H6" s="1">
        <v>1</v>
      </c>
      <c r="I6" s="1" t="s">
        <v>4</v>
      </c>
      <c r="J6" s="4">
        <v>4.75</v>
      </c>
      <c r="K6" s="4">
        <f t="shared" si="1"/>
        <v>4.75</v>
      </c>
    </row>
    <row r="7" spans="1:11" x14ac:dyDescent="0.25">
      <c r="A7" s="3" t="s">
        <v>84</v>
      </c>
      <c r="B7" s="1">
        <v>1</v>
      </c>
      <c r="C7" s="1" t="s">
        <v>4</v>
      </c>
      <c r="D7" s="4">
        <v>0.27</v>
      </c>
      <c r="E7" s="4">
        <f t="shared" si="0"/>
        <v>0.27</v>
      </c>
      <c r="G7" s="3" t="s">
        <v>84</v>
      </c>
      <c r="H7" s="1">
        <v>1</v>
      </c>
      <c r="I7" s="1" t="s">
        <v>4</v>
      </c>
      <c r="J7" s="4">
        <v>0.18</v>
      </c>
      <c r="K7" s="4">
        <f t="shared" si="1"/>
        <v>0.18</v>
      </c>
    </row>
    <row r="8" spans="1:11" x14ac:dyDescent="0.25">
      <c r="A8" s="5" t="s">
        <v>11</v>
      </c>
      <c r="B8" s="6">
        <v>10</v>
      </c>
      <c r="C8" s="6" t="s">
        <v>10</v>
      </c>
      <c r="D8" s="7">
        <v>0.04</v>
      </c>
      <c r="E8" s="7">
        <f t="shared" si="0"/>
        <v>0.4</v>
      </c>
      <c r="G8" s="5" t="s">
        <v>11</v>
      </c>
      <c r="H8" s="6">
        <v>10</v>
      </c>
      <c r="I8" s="6" t="s">
        <v>10</v>
      </c>
      <c r="J8" s="7">
        <v>0.04</v>
      </c>
      <c r="K8" s="7">
        <f t="shared" si="1"/>
        <v>0.4</v>
      </c>
    </row>
    <row r="9" spans="1:11" x14ac:dyDescent="0.25">
      <c r="A9" s="5" t="s">
        <v>18</v>
      </c>
      <c r="B9" s="6">
        <v>1</v>
      </c>
      <c r="C9" s="6" t="s">
        <v>4</v>
      </c>
      <c r="D9" s="7">
        <v>0.69</v>
      </c>
      <c r="E9" s="7">
        <f t="shared" si="0"/>
        <v>0.69</v>
      </c>
      <c r="G9" s="5" t="s">
        <v>18</v>
      </c>
      <c r="H9" s="6">
        <v>1</v>
      </c>
      <c r="I9" s="6" t="s">
        <v>4</v>
      </c>
      <c r="J9" s="7">
        <v>0.69</v>
      </c>
      <c r="K9" s="7">
        <f t="shared" si="1"/>
        <v>0.69</v>
      </c>
    </row>
    <row r="10" spans="1:11" x14ac:dyDescent="0.25">
      <c r="A10" s="3" t="s">
        <v>85</v>
      </c>
      <c r="B10" s="1">
        <v>1</v>
      </c>
      <c r="C10" s="1" t="s">
        <v>86</v>
      </c>
      <c r="D10" s="4">
        <v>0.36</v>
      </c>
      <c r="E10" s="4">
        <f t="shared" si="0"/>
        <v>0.36</v>
      </c>
      <c r="G10" s="3" t="s">
        <v>85</v>
      </c>
      <c r="H10" s="1">
        <v>1</v>
      </c>
      <c r="I10" s="1" t="s">
        <v>86</v>
      </c>
      <c r="J10" s="4">
        <v>0.36</v>
      </c>
      <c r="K10" s="4">
        <f t="shared" si="1"/>
        <v>0.36</v>
      </c>
    </row>
    <row r="11" spans="1:11" x14ac:dyDescent="0.25">
      <c r="A11" s="5" t="s">
        <v>47</v>
      </c>
      <c r="B11" s="6">
        <v>1</v>
      </c>
      <c r="C11" s="6" t="s">
        <v>4</v>
      </c>
      <c r="D11" s="7">
        <v>7.49</v>
      </c>
      <c r="E11" s="7">
        <f t="shared" si="0"/>
        <v>7.49</v>
      </c>
      <c r="G11" s="5" t="s">
        <v>47</v>
      </c>
      <c r="H11" s="6">
        <v>1</v>
      </c>
      <c r="I11" s="6" t="s">
        <v>4</v>
      </c>
      <c r="J11" s="7">
        <v>7.49</v>
      </c>
      <c r="K11" s="7">
        <f t="shared" si="1"/>
        <v>7.49</v>
      </c>
    </row>
    <row r="12" spans="1:11" ht="30" customHeight="1" x14ac:dyDescent="0.25">
      <c r="A12" s="46" t="s">
        <v>12</v>
      </c>
      <c r="B12" s="47"/>
      <c r="C12" s="47"/>
      <c r="D12" s="48"/>
      <c r="E12" s="11">
        <f>SUM(E4:E11)</f>
        <v>45.089999999999996</v>
      </c>
      <c r="G12" s="46" t="s">
        <v>12</v>
      </c>
      <c r="H12" s="47"/>
      <c r="I12" s="47"/>
      <c r="J12" s="48"/>
      <c r="K12" s="11">
        <f>SUM(K4:K11)</f>
        <v>45.15</v>
      </c>
    </row>
    <row r="13" spans="1:11" ht="14.25" customHeight="1" x14ac:dyDescent="0.25">
      <c r="A13" s="19"/>
      <c r="B13" s="20"/>
      <c r="C13" s="20"/>
      <c r="D13" s="21"/>
      <c r="E13" s="11"/>
      <c r="G13" s="19"/>
      <c r="H13" s="20"/>
      <c r="I13" s="20"/>
      <c r="J13" s="21"/>
      <c r="K13" s="11"/>
    </row>
    <row r="14" spans="1:11" x14ac:dyDescent="0.25">
      <c r="A14" s="3"/>
      <c r="B14" s="3"/>
      <c r="C14" s="1"/>
      <c r="D14" s="4"/>
      <c r="E14" s="4">
        <f>B14*D14</f>
        <v>0</v>
      </c>
      <c r="G14" s="3"/>
      <c r="H14" s="3"/>
      <c r="I14" s="1"/>
      <c r="J14" s="4"/>
      <c r="K14" s="4">
        <f>H14*J14</f>
        <v>0</v>
      </c>
    </row>
    <row r="15" spans="1:11" x14ac:dyDescent="0.25">
      <c r="A15" s="3" t="s">
        <v>40</v>
      </c>
      <c r="B15" s="3">
        <v>2</v>
      </c>
      <c r="C15" s="1" t="s">
        <v>13</v>
      </c>
      <c r="D15" s="4">
        <v>17</v>
      </c>
      <c r="E15" s="4">
        <f t="shared" ref="E15:E16" si="2">B15*D15</f>
        <v>34</v>
      </c>
      <c r="G15" s="3" t="s">
        <v>40</v>
      </c>
      <c r="H15" s="3">
        <v>2</v>
      </c>
      <c r="I15" s="1" t="s">
        <v>13</v>
      </c>
      <c r="J15" s="4">
        <v>17</v>
      </c>
      <c r="K15" s="4">
        <f t="shared" ref="K15:K16" si="3">H15*J15</f>
        <v>34</v>
      </c>
    </row>
    <row r="16" spans="1:11" x14ac:dyDescent="0.25">
      <c r="A16" s="3"/>
      <c r="B16" s="3"/>
      <c r="C16" s="1"/>
      <c r="D16" s="4"/>
      <c r="E16" s="4">
        <f t="shared" si="2"/>
        <v>0</v>
      </c>
      <c r="G16" s="3"/>
      <c r="H16" s="3"/>
      <c r="I16" s="1"/>
      <c r="J16" s="4"/>
      <c r="K16" s="4">
        <f t="shared" si="3"/>
        <v>0</v>
      </c>
    </row>
    <row r="17" spans="1:12" ht="30" customHeight="1" x14ac:dyDescent="0.25">
      <c r="A17" s="44" t="s">
        <v>15</v>
      </c>
      <c r="B17" s="44"/>
      <c r="C17" s="44"/>
      <c r="D17" s="44"/>
      <c r="E17" s="11">
        <f>SUM(E14:E16)</f>
        <v>34</v>
      </c>
      <c r="G17" s="44" t="s">
        <v>15</v>
      </c>
      <c r="H17" s="44"/>
      <c r="I17" s="44"/>
      <c r="J17" s="44"/>
      <c r="K17" s="11">
        <f>SUM(K14:K16)</f>
        <v>34</v>
      </c>
    </row>
    <row r="18" spans="1:12" ht="15.75" x14ac:dyDescent="0.25">
      <c r="A18" s="49" t="s">
        <v>41</v>
      </c>
      <c r="B18" s="50"/>
      <c r="C18" s="50"/>
      <c r="D18" s="51"/>
      <c r="E18" s="13">
        <f>SUM(E17,E12)*61%</f>
        <v>48.244900000000001</v>
      </c>
      <c r="G18" s="49" t="s">
        <v>41</v>
      </c>
      <c r="H18" s="50"/>
      <c r="I18" s="50"/>
      <c r="J18" s="51"/>
      <c r="K18" s="13">
        <f>SUM(K17,K12)*61%</f>
        <v>48.281500000000001</v>
      </c>
    </row>
    <row r="19" spans="1:12" ht="30" customHeight="1" x14ac:dyDescent="0.25">
      <c r="A19" s="44" t="s">
        <v>14</v>
      </c>
      <c r="B19" s="44"/>
      <c r="C19" s="44"/>
      <c r="D19" s="44"/>
      <c r="E19" s="11">
        <f>E12+E17+E18</f>
        <v>127.3349</v>
      </c>
      <c r="G19" s="44" t="s">
        <v>14</v>
      </c>
      <c r="H19" s="44"/>
      <c r="I19" s="44"/>
      <c r="J19" s="44"/>
      <c r="K19" s="11">
        <f>K12+K17+K18</f>
        <v>127.4315</v>
      </c>
    </row>
    <row r="20" spans="1:12" ht="15.75" x14ac:dyDescent="0.25">
      <c r="A20" s="55" t="s">
        <v>16</v>
      </c>
      <c r="B20" s="55"/>
      <c r="C20" s="55"/>
      <c r="D20" s="55"/>
      <c r="E20" s="12">
        <f>(E21-E19)/E19</f>
        <v>2.219855671932832</v>
      </c>
      <c r="G20" s="55" t="s">
        <v>16</v>
      </c>
      <c r="H20" s="55"/>
      <c r="I20" s="55"/>
      <c r="J20" s="55"/>
      <c r="K20" s="12">
        <f>(K21-K19)/K19</f>
        <v>2.2174148464076775</v>
      </c>
    </row>
    <row r="21" spans="1:12" ht="30" customHeight="1" x14ac:dyDescent="0.25">
      <c r="A21" s="44" t="s">
        <v>17</v>
      </c>
      <c r="B21" s="44"/>
      <c r="C21" s="44"/>
      <c r="D21" s="44"/>
      <c r="E21" s="11">
        <v>410</v>
      </c>
      <c r="F21" s="24"/>
      <c r="G21" s="44" t="s">
        <v>17</v>
      </c>
      <c r="H21" s="44"/>
      <c r="I21" s="44"/>
      <c r="J21" s="44"/>
      <c r="K21" s="11">
        <v>410</v>
      </c>
      <c r="L21" s="24"/>
    </row>
    <row r="22" spans="1:12" x14ac:dyDescent="0.25">
      <c r="B22" s="27" t="s">
        <v>71</v>
      </c>
      <c r="C22" s="35"/>
      <c r="H22" s="27" t="s">
        <v>72</v>
      </c>
      <c r="I22" s="35"/>
    </row>
  </sheetData>
  <sortState xmlns:xlrd2="http://schemas.microsoft.com/office/spreadsheetml/2017/richdata2" ref="G5:K11">
    <sortCondition ref="G5"/>
  </sortState>
  <mergeCells count="14">
    <mergeCell ref="G20:J20"/>
    <mergeCell ref="G21:J21"/>
    <mergeCell ref="G1:K2"/>
    <mergeCell ref="G12:J12"/>
    <mergeCell ref="G17:J17"/>
    <mergeCell ref="G18:J18"/>
    <mergeCell ref="G19:J19"/>
    <mergeCell ref="A20:D20"/>
    <mergeCell ref="A21:D21"/>
    <mergeCell ref="A1:E2"/>
    <mergeCell ref="A17:D17"/>
    <mergeCell ref="A18:D18"/>
    <mergeCell ref="A19:D19"/>
    <mergeCell ref="A12:D1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22"/>
  <sheetViews>
    <sheetView workbookViewId="0">
      <selection activeCell="E24" sqref="E24"/>
    </sheetView>
  </sheetViews>
  <sheetFormatPr defaultRowHeight="15" x14ac:dyDescent="0.25"/>
  <cols>
    <col min="1" max="1" width="24.85546875" bestFit="1" customWidth="1"/>
    <col min="2" max="2" width="11.42578125" bestFit="1" customWidth="1"/>
    <col min="3" max="3" width="8.5703125" bestFit="1" customWidth="1"/>
    <col min="4" max="4" width="13.85546875" bestFit="1" customWidth="1"/>
    <col min="5" max="5" width="14.5703125" bestFit="1" customWidth="1"/>
  </cols>
  <sheetData>
    <row r="1" spans="1:5" x14ac:dyDescent="0.25">
      <c r="A1" s="45" t="s">
        <v>149</v>
      </c>
      <c r="B1" s="45"/>
      <c r="C1" s="45"/>
      <c r="D1" s="45"/>
      <c r="E1" s="45"/>
    </row>
    <row r="2" spans="1:5" x14ac:dyDescent="0.25">
      <c r="A2" s="45"/>
      <c r="B2" s="45"/>
      <c r="C2" s="45"/>
      <c r="D2" s="45"/>
      <c r="E2" s="45"/>
    </row>
    <row r="3" spans="1:5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</row>
    <row r="4" spans="1:5" ht="16.5" customHeight="1" x14ac:dyDescent="0.25">
      <c r="A4" s="31" t="s">
        <v>148</v>
      </c>
      <c r="B4" s="6">
        <v>2</v>
      </c>
      <c r="C4" s="6" t="s">
        <v>10</v>
      </c>
      <c r="D4" s="7">
        <v>26.36</v>
      </c>
      <c r="E4" s="7">
        <f t="shared" ref="E4:E10" si="0">B4*D4</f>
        <v>52.72</v>
      </c>
    </row>
    <row r="5" spans="1:5" x14ac:dyDescent="0.25">
      <c r="A5" s="3" t="s">
        <v>43</v>
      </c>
      <c r="B5" s="1">
        <v>1</v>
      </c>
      <c r="C5" s="1" t="s">
        <v>4</v>
      </c>
      <c r="D5" s="4">
        <v>4.75</v>
      </c>
      <c r="E5" s="4">
        <f t="shared" si="0"/>
        <v>4.75</v>
      </c>
    </row>
    <row r="6" spans="1:5" ht="16.5" customHeight="1" x14ac:dyDescent="0.25">
      <c r="A6" s="3" t="s">
        <v>84</v>
      </c>
      <c r="B6" s="1">
        <v>1</v>
      </c>
      <c r="C6" s="1" t="s">
        <v>4</v>
      </c>
      <c r="D6" s="4">
        <v>0.27</v>
      </c>
      <c r="E6" s="4">
        <f t="shared" si="0"/>
        <v>0.27</v>
      </c>
    </row>
    <row r="7" spans="1:5" x14ac:dyDescent="0.25">
      <c r="A7" s="5" t="s">
        <v>11</v>
      </c>
      <c r="B7" s="6">
        <v>10</v>
      </c>
      <c r="C7" s="6" t="s">
        <v>10</v>
      </c>
      <c r="D7" s="7">
        <v>0.04</v>
      </c>
      <c r="E7" s="7">
        <f t="shared" si="0"/>
        <v>0.4</v>
      </c>
    </row>
    <row r="8" spans="1:5" x14ac:dyDescent="0.25">
      <c r="A8" s="5" t="s">
        <v>18</v>
      </c>
      <c r="B8" s="6">
        <v>1</v>
      </c>
      <c r="C8" s="6" t="s">
        <v>4</v>
      </c>
      <c r="D8" s="7">
        <v>0.36</v>
      </c>
      <c r="E8" s="7">
        <f t="shared" si="0"/>
        <v>0.36</v>
      </c>
    </row>
    <row r="9" spans="1:5" x14ac:dyDescent="0.25">
      <c r="A9" s="3" t="s">
        <v>85</v>
      </c>
      <c r="B9" s="1">
        <v>1</v>
      </c>
      <c r="C9" s="1" t="s">
        <v>86</v>
      </c>
      <c r="D9" s="4">
        <v>0.36</v>
      </c>
      <c r="E9" s="4">
        <f t="shared" si="0"/>
        <v>0.36</v>
      </c>
    </row>
    <row r="10" spans="1:5" x14ac:dyDescent="0.25">
      <c r="A10" s="31" t="s">
        <v>42</v>
      </c>
      <c r="B10" s="6">
        <v>1</v>
      </c>
      <c r="C10" s="6" t="s">
        <v>4</v>
      </c>
      <c r="D10" s="7">
        <v>2.39</v>
      </c>
      <c r="E10" s="7">
        <f t="shared" si="0"/>
        <v>2.39</v>
      </c>
    </row>
    <row r="11" spans="1:5" ht="18.75" x14ac:dyDescent="0.25">
      <c r="A11" s="46" t="s">
        <v>12</v>
      </c>
      <c r="B11" s="47"/>
      <c r="C11" s="47"/>
      <c r="D11" s="48"/>
      <c r="E11" s="17">
        <f>SUM(E4:E10)</f>
        <v>61.25</v>
      </c>
    </row>
    <row r="12" spans="1:5" ht="18.75" x14ac:dyDescent="0.25">
      <c r="A12" s="19"/>
      <c r="B12" s="20"/>
      <c r="C12" s="20"/>
      <c r="D12" s="21"/>
      <c r="E12" s="17"/>
    </row>
    <row r="13" spans="1:5" x14ac:dyDescent="0.25">
      <c r="A13" s="3"/>
      <c r="B13" s="3"/>
      <c r="C13" s="1"/>
      <c r="D13" s="4"/>
      <c r="E13" s="4">
        <f>B13*D13</f>
        <v>0</v>
      </c>
    </row>
    <row r="14" spans="1:5" x14ac:dyDescent="0.25">
      <c r="A14" s="3" t="s">
        <v>40</v>
      </c>
      <c r="B14" s="3">
        <v>1</v>
      </c>
      <c r="C14" s="1" t="s">
        <v>13</v>
      </c>
      <c r="D14" s="4">
        <v>17</v>
      </c>
      <c r="E14" s="4">
        <f t="shared" ref="E14:E15" si="1">B14*D14</f>
        <v>17</v>
      </c>
    </row>
    <row r="15" spans="1:5" x14ac:dyDescent="0.25">
      <c r="A15" s="3"/>
      <c r="B15" s="3"/>
      <c r="C15" s="1"/>
      <c r="D15" s="4"/>
      <c r="E15" s="4">
        <f t="shared" si="1"/>
        <v>0</v>
      </c>
    </row>
    <row r="16" spans="1:5" ht="18.75" x14ac:dyDescent="0.25">
      <c r="A16" s="44" t="s">
        <v>15</v>
      </c>
      <c r="B16" s="44"/>
      <c r="C16" s="44"/>
      <c r="D16" s="44"/>
      <c r="E16" s="11">
        <f>SUM(E13:E15)</f>
        <v>17</v>
      </c>
    </row>
    <row r="17" spans="1:6" ht="15.75" x14ac:dyDescent="0.25">
      <c r="A17" s="49" t="s">
        <v>41</v>
      </c>
      <c r="B17" s="50"/>
      <c r="C17" s="50"/>
      <c r="D17" s="51"/>
      <c r="E17" s="13">
        <f>SUM(E16,E11)*61%</f>
        <v>47.732500000000002</v>
      </c>
    </row>
    <row r="18" spans="1:6" ht="18.75" x14ac:dyDescent="0.25">
      <c r="A18" s="44" t="s">
        <v>14</v>
      </c>
      <c r="B18" s="44"/>
      <c r="C18" s="44"/>
      <c r="D18" s="44"/>
      <c r="E18" s="11">
        <f>E11+E16+E17</f>
        <v>125.9825</v>
      </c>
    </row>
    <row r="19" spans="1:6" ht="15.75" x14ac:dyDescent="0.25">
      <c r="A19" s="55" t="s">
        <v>16</v>
      </c>
      <c r="B19" s="55"/>
      <c r="C19" s="55"/>
      <c r="D19" s="55"/>
      <c r="E19" s="12">
        <f>(E20-E18)/E18</f>
        <v>2.0162919453098644</v>
      </c>
    </row>
    <row r="20" spans="1:6" ht="18.75" x14ac:dyDescent="0.25">
      <c r="A20" s="44" t="s">
        <v>17</v>
      </c>
      <c r="B20" s="44"/>
      <c r="C20" s="44"/>
      <c r="D20" s="44"/>
      <c r="E20" s="11">
        <v>380</v>
      </c>
      <c r="F20" s="24"/>
    </row>
    <row r="22" spans="1:6" x14ac:dyDescent="0.25">
      <c r="A22" s="3" t="s">
        <v>88</v>
      </c>
      <c r="B22" s="31"/>
    </row>
  </sheetData>
  <mergeCells count="7">
    <mergeCell ref="A20:D20"/>
    <mergeCell ref="A1:E2"/>
    <mergeCell ref="A11:D11"/>
    <mergeCell ref="A16:D16"/>
    <mergeCell ref="A17:D17"/>
    <mergeCell ref="A18:D18"/>
    <mergeCell ref="A19:D19"/>
  </mergeCells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22"/>
  <sheetViews>
    <sheetView workbookViewId="0">
      <selection activeCell="F20" sqref="F20"/>
    </sheetView>
  </sheetViews>
  <sheetFormatPr defaultRowHeight="15" x14ac:dyDescent="0.25"/>
  <cols>
    <col min="1" max="1" width="24.85546875" bestFit="1" customWidth="1"/>
    <col min="2" max="2" width="11.42578125" bestFit="1" customWidth="1"/>
    <col min="3" max="3" width="8.5703125" bestFit="1" customWidth="1"/>
    <col min="4" max="4" width="13.85546875" bestFit="1" customWidth="1"/>
    <col min="5" max="5" width="14.5703125" bestFit="1" customWidth="1"/>
  </cols>
  <sheetData>
    <row r="1" spans="1:5" x14ac:dyDescent="0.25">
      <c r="A1" s="45" t="s">
        <v>150</v>
      </c>
      <c r="B1" s="45"/>
      <c r="C1" s="45"/>
      <c r="D1" s="45"/>
      <c r="E1" s="45"/>
    </row>
    <row r="2" spans="1:5" x14ac:dyDescent="0.25">
      <c r="A2" s="45"/>
      <c r="B2" s="45"/>
      <c r="C2" s="45"/>
      <c r="D2" s="45"/>
      <c r="E2" s="45"/>
    </row>
    <row r="3" spans="1:5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</row>
    <row r="4" spans="1:5" ht="16.5" customHeight="1" x14ac:dyDescent="0.25">
      <c r="A4" s="31" t="s">
        <v>148</v>
      </c>
      <c r="B4" s="6">
        <v>2</v>
      </c>
      <c r="C4" s="6" t="s">
        <v>10</v>
      </c>
      <c r="D4" s="7">
        <v>26.36</v>
      </c>
      <c r="E4" s="7">
        <f t="shared" ref="E4:E10" si="0">B4*D4</f>
        <v>52.72</v>
      </c>
    </row>
    <row r="5" spans="1:5" x14ac:dyDescent="0.25">
      <c r="A5" s="3" t="s">
        <v>43</v>
      </c>
      <c r="B5" s="1">
        <v>1</v>
      </c>
      <c r="C5" s="1" t="s">
        <v>4</v>
      </c>
      <c r="D5" s="4">
        <v>4.75</v>
      </c>
      <c r="E5" s="4">
        <f t="shared" si="0"/>
        <v>4.75</v>
      </c>
    </row>
    <row r="6" spans="1:5" ht="16.5" customHeight="1" x14ac:dyDescent="0.25">
      <c r="A6" s="3" t="s">
        <v>84</v>
      </c>
      <c r="B6" s="1">
        <v>1</v>
      </c>
      <c r="C6" s="1" t="s">
        <v>4</v>
      </c>
      <c r="D6" s="4">
        <v>0.27</v>
      </c>
      <c r="E6" s="4">
        <f t="shared" si="0"/>
        <v>0.27</v>
      </c>
    </row>
    <row r="7" spans="1:5" x14ac:dyDescent="0.25">
      <c r="A7" s="5" t="s">
        <v>11</v>
      </c>
      <c r="B7" s="6">
        <v>10</v>
      </c>
      <c r="C7" s="6" t="s">
        <v>10</v>
      </c>
      <c r="D7" s="7">
        <v>0.04</v>
      </c>
      <c r="E7" s="7">
        <f t="shared" si="0"/>
        <v>0.4</v>
      </c>
    </row>
    <row r="8" spans="1:5" x14ac:dyDescent="0.25">
      <c r="A8" s="5" t="s">
        <v>18</v>
      </c>
      <c r="B8" s="6">
        <v>1</v>
      </c>
      <c r="C8" s="6" t="s">
        <v>4</v>
      </c>
      <c r="D8" s="7">
        <v>0.69</v>
      </c>
      <c r="E8" s="7">
        <f t="shared" si="0"/>
        <v>0.69</v>
      </c>
    </row>
    <row r="9" spans="1:5" x14ac:dyDescent="0.25">
      <c r="A9" s="3" t="s">
        <v>85</v>
      </c>
      <c r="B9" s="1">
        <v>1</v>
      </c>
      <c r="C9" s="1" t="s">
        <v>86</v>
      </c>
      <c r="D9" s="4">
        <v>0.36</v>
      </c>
      <c r="E9" s="4">
        <f t="shared" si="0"/>
        <v>0.36</v>
      </c>
    </row>
    <row r="10" spans="1:5" x14ac:dyDescent="0.25">
      <c r="A10" s="31" t="s">
        <v>42</v>
      </c>
      <c r="B10" s="6">
        <v>1</v>
      </c>
      <c r="C10" s="6" t="s">
        <v>4</v>
      </c>
      <c r="D10" s="7">
        <v>2.39</v>
      </c>
      <c r="E10" s="7">
        <f t="shared" si="0"/>
        <v>2.39</v>
      </c>
    </row>
    <row r="11" spans="1:5" ht="18.75" x14ac:dyDescent="0.25">
      <c r="A11" s="46" t="s">
        <v>12</v>
      </c>
      <c r="B11" s="47"/>
      <c r="C11" s="47"/>
      <c r="D11" s="48"/>
      <c r="E11" s="17">
        <f>SUM(E4:E10)</f>
        <v>61.58</v>
      </c>
    </row>
    <row r="12" spans="1:5" ht="18.75" x14ac:dyDescent="0.25">
      <c r="A12" s="19"/>
      <c r="B12" s="20"/>
      <c r="C12" s="20"/>
      <c r="D12" s="21"/>
      <c r="E12" s="17"/>
    </row>
    <row r="13" spans="1:5" x14ac:dyDescent="0.25">
      <c r="A13" s="3"/>
      <c r="B13" s="3"/>
      <c r="C13" s="1"/>
      <c r="D13" s="4"/>
      <c r="E13" s="4">
        <f>B13*D13</f>
        <v>0</v>
      </c>
    </row>
    <row r="14" spans="1:5" x14ac:dyDescent="0.25">
      <c r="A14" s="3" t="s">
        <v>40</v>
      </c>
      <c r="B14" s="3">
        <v>1</v>
      </c>
      <c r="C14" s="1" t="s">
        <v>13</v>
      </c>
      <c r="D14" s="4">
        <v>17</v>
      </c>
      <c r="E14" s="4">
        <f t="shared" ref="E14:E15" si="1">B14*D14</f>
        <v>17</v>
      </c>
    </row>
    <row r="15" spans="1:5" x14ac:dyDescent="0.25">
      <c r="A15" s="3"/>
      <c r="B15" s="3"/>
      <c r="C15" s="1"/>
      <c r="D15" s="4"/>
      <c r="E15" s="4">
        <f t="shared" si="1"/>
        <v>0</v>
      </c>
    </row>
    <row r="16" spans="1:5" ht="18.75" x14ac:dyDescent="0.25">
      <c r="A16" s="44" t="s">
        <v>15</v>
      </c>
      <c r="B16" s="44"/>
      <c r="C16" s="44"/>
      <c r="D16" s="44"/>
      <c r="E16" s="11">
        <f>SUM(E13:E15)</f>
        <v>17</v>
      </c>
    </row>
    <row r="17" spans="1:6" ht="15.75" x14ac:dyDescent="0.25">
      <c r="A17" s="49" t="s">
        <v>41</v>
      </c>
      <c r="B17" s="50"/>
      <c r="C17" s="50"/>
      <c r="D17" s="51"/>
      <c r="E17" s="13">
        <f>SUM(E16,E11)*61%</f>
        <v>47.933799999999998</v>
      </c>
    </row>
    <row r="18" spans="1:6" ht="18.75" x14ac:dyDescent="0.25">
      <c r="A18" s="44" t="s">
        <v>14</v>
      </c>
      <c r="B18" s="44"/>
      <c r="C18" s="44"/>
      <c r="D18" s="44"/>
      <c r="E18" s="11">
        <f>E11+E16+E17</f>
        <v>126.5138</v>
      </c>
    </row>
    <row r="19" spans="1:6" ht="15.75" x14ac:dyDescent="0.25">
      <c r="A19" s="55" t="s">
        <v>16</v>
      </c>
      <c r="B19" s="55"/>
      <c r="C19" s="55"/>
      <c r="D19" s="55"/>
      <c r="E19" s="12">
        <f>(E20-E18)/E18</f>
        <v>2.0036249009989424</v>
      </c>
    </row>
    <row r="20" spans="1:6" ht="18.75" x14ac:dyDescent="0.25">
      <c r="A20" s="44" t="s">
        <v>17</v>
      </c>
      <c r="B20" s="44"/>
      <c r="C20" s="44"/>
      <c r="D20" s="44"/>
      <c r="E20" s="11">
        <v>380</v>
      </c>
      <c r="F20" s="24"/>
    </row>
    <row r="22" spans="1:6" x14ac:dyDescent="0.25">
      <c r="A22" s="3" t="s">
        <v>88</v>
      </c>
      <c r="B22" s="31"/>
    </row>
  </sheetData>
  <mergeCells count="7">
    <mergeCell ref="A20:D20"/>
    <mergeCell ref="A1:E2"/>
    <mergeCell ref="A11:D11"/>
    <mergeCell ref="A16:D16"/>
    <mergeCell ref="A17:D17"/>
    <mergeCell ref="A18:D18"/>
    <mergeCell ref="A19:D19"/>
  </mergeCells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K20"/>
  <sheetViews>
    <sheetView tabSelected="1" topLeftCell="A2" workbookViewId="0">
      <selection activeCell="K8" sqref="K8"/>
    </sheetView>
  </sheetViews>
  <sheetFormatPr defaultRowHeight="15" x14ac:dyDescent="0.25"/>
  <cols>
    <col min="1" max="1" width="24.85546875" bestFit="1" customWidth="1"/>
    <col min="2" max="2" width="11.42578125" bestFit="1" customWidth="1"/>
    <col min="4" max="4" width="13.85546875" bestFit="1" customWidth="1"/>
    <col min="5" max="5" width="14.5703125" bestFit="1" customWidth="1"/>
    <col min="7" max="7" width="24.85546875" bestFit="1" customWidth="1"/>
    <col min="8" max="8" width="11.42578125" bestFit="1" customWidth="1"/>
    <col min="10" max="10" width="13.85546875" bestFit="1" customWidth="1"/>
    <col min="11" max="11" width="14.5703125" bestFit="1" customWidth="1"/>
  </cols>
  <sheetData>
    <row r="1" spans="1:11" x14ac:dyDescent="0.25">
      <c r="A1" s="45" t="s">
        <v>151</v>
      </c>
      <c r="B1" s="45"/>
      <c r="C1" s="45"/>
      <c r="D1" s="45"/>
      <c r="E1" s="45"/>
      <c r="G1" s="45" t="s">
        <v>151</v>
      </c>
      <c r="H1" s="45"/>
      <c r="I1" s="45"/>
      <c r="J1" s="45"/>
      <c r="K1" s="45"/>
    </row>
    <row r="2" spans="1:11" x14ac:dyDescent="0.25">
      <c r="A2" s="45"/>
      <c r="B2" s="45"/>
      <c r="C2" s="45"/>
      <c r="D2" s="45"/>
      <c r="E2" s="45"/>
      <c r="G2" s="45"/>
      <c r="H2" s="45"/>
      <c r="I2" s="45"/>
      <c r="J2" s="45"/>
      <c r="K2" s="45"/>
    </row>
    <row r="3" spans="1:11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  <c r="G3" s="2" t="s">
        <v>7</v>
      </c>
      <c r="H3" s="2" t="s">
        <v>3</v>
      </c>
      <c r="I3" s="2" t="s">
        <v>4</v>
      </c>
      <c r="J3" s="2" t="s">
        <v>6</v>
      </c>
      <c r="K3" s="2" t="s">
        <v>5</v>
      </c>
    </row>
    <row r="4" spans="1:11" x14ac:dyDescent="0.25">
      <c r="A4" s="31" t="s">
        <v>148</v>
      </c>
      <c r="B4" s="6">
        <v>3</v>
      </c>
      <c r="C4" s="6" t="s">
        <v>10</v>
      </c>
      <c r="D4" s="4">
        <v>26.36</v>
      </c>
      <c r="E4" s="7">
        <f t="shared" ref="E4:E10" si="0">B4*D4</f>
        <v>79.08</v>
      </c>
      <c r="G4" s="31" t="s">
        <v>148</v>
      </c>
      <c r="H4" s="6">
        <v>0.7</v>
      </c>
      <c r="I4" s="6" t="s">
        <v>10</v>
      </c>
      <c r="J4" s="4">
        <v>26.36</v>
      </c>
      <c r="K4" s="7">
        <f t="shared" ref="K4:K10" si="1">H4*J4</f>
        <v>18.451999999999998</v>
      </c>
    </row>
    <row r="5" spans="1:11" x14ac:dyDescent="0.25">
      <c r="A5" s="31" t="s">
        <v>153</v>
      </c>
      <c r="B5" s="6">
        <v>0.8</v>
      </c>
      <c r="C5" s="6" t="s">
        <v>10</v>
      </c>
      <c r="D5" s="7">
        <v>0.89</v>
      </c>
      <c r="E5" s="7">
        <f>B5*D5</f>
        <v>0.71200000000000008</v>
      </c>
      <c r="G5" s="31" t="s">
        <v>153</v>
      </c>
      <c r="H5" s="6">
        <v>0.8</v>
      </c>
      <c r="I5" s="6" t="s">
        <v>10</v>
      </c>
      <c r="J5" s="7">
        <v>0.89</v>
      </c>
      <c r="K5" s="7">
        <f>H5*J5</f>
        <v>0.71200000000000008</v>
      </c>
    </row>
    <row r="6" spans="1:11" x14ac:dyDescent="0.25">
      <c r="A6" s="3" t="s">
        <v>43</v>
      </c>
      <c r="B6" s="1">
        <v>1</v>
      </c>
      <c r="C6" s="1" t="s">
        <v>4</v>
      </c>
      <c r="D6" s="4">
        <v>4.75</v>
      </c>
      <c r="E6" s="4">
        <f t="shared" si="0"/>
        <v>4.75</v>
      </c>
      <c r="G6" s="3" t="s">
        <v>43</v>
      </c>
      <c r="H6" s="1">
        <v>1</v>
      </c>
      <c r="I6" s="1" t="s">
        <v>4</v>
      </c>
      <c r="J6" s="4">
        <v>4.75</v>
      </c>
      <c r="K6" s="4">
        <f t="shared" ref="K6:K12" si="2">H6*J6</f>
        <v>4.75</v>
      </c>
    </row>
    <row r="7" spans="1:11" x14ac:dyDescent="0.25">
      <c r="A7" s="3" t="s">
        <v>84</v>
      </c>
      <c r="B7" s="1">
        <v>1</v>
      </c>
      <c r="C7" s="1" t="s">
        <v>4</v>
      </c>
      <c r="D7" s="4">
        <v>0.27</v>
      </c>
      <c r="E7" s="4">
        <f t="shared" si="0"/>
        <v>0.27</v>
      </c>
      <c r="G7" s="3" t="s">
        <v>84</v>
      </c>
      <c r="H7" s="1">
        <v>1</v>
      </c>
      <c r="I7" s="1" t="s">
        <v>4</v>
      </c>
      <c r="J7" s="4">
        <v>0.27</v>
      </c>
      <c r="K7" s="4">
        <f t="shared" si="2"/>
        <v>0.27</v>
      </c>
    </row>
    <row r="8" spans="1:11" x14ac:dyDescent="0.25">
      <c r="A8" s="5" t="s">
        <v>11</v>
      </c>
      <c r="B8" s="6">
        <v>10</v>
      </c>
      <c r="C8" s="6" t="s">
        <v>10</v>
      </c>
      <c r="D8" s="7">
        <v>0.04</v>
      </c>
      <c r="E8" s="7">
        <f t="shared" si="0"/>
        <v>0.4</v>
      </c>
      <c r="G8" s="5" t="s">
        <v>11</v>
      </c>
      <c r="H8" s="6">
        <v>10</v>
      </c>
      <c r="I8" s="6" t="s">
        <v>10</v>
      </c>
      <c r="J8" s="7">
        <v>0.04</v>
      </c>
      <c r="K8" s="7">
        <f t="shared" si="2"/>
        <v>0.4</v>
      </c>
    </row>
    <row r="9" spans="1:11" x14ac:dyDescent="0.25">
      <c r="A9" s="5" t="s">
        <v>18</v>
      </c>
      <c r="B9" s="6">
        <v>1</v>
      </c>
      <c r="C9" s="6" t="s">
        <v>4</v>
      </c>
      <c r="D9" s="7">
        <v>0.69</v>
      </c>
      <c r="E9" s="7">
        <f t="shared" si="0"/>
        <v>0.69</v>
      </c>
      <c r="G9" s="5" t="s">
        <v>18</v>
      </c>
      <c r="H9" s="6">
        <v>1</v>
      </c>
      <c r="I9" s="6" t="s">
        <v>4</v>
      </c>
      <c r="J9" s="7">
        <v>0.69</v>
      </c>
      <c r="K9" s="7">
        <f t="shared" si="2"/>
        <v>0.69</v>
      </c>
    </row>
    <row r="10" spans="1:11" x14ac:dyDescent="0.25">
      <c r="A10" s="3" t="s">
        <v>85</v>
      </c>
      <c r="B10" s="1">
        <v>1</v>
      </c>
      <c r="C10" s="1" t="s">
        <v>86</v>
      </c>
      <c r="D10" s="4">
        <v>0.36</v>
      </c>
      <c r="E10" s="4">
        <f t="shared" si="0"/>
        <v>0.36</v>
      </c>
      <c r="G10" s="3" t="s">
        <v>85</v>
      </c>
      <c r="H10" s="1">
        <v>1</v>
      </c>
      <c r="I10" s="1" t="s">
        <v>86</v>
      </c>
      <c r="J10" s="4">
        <v>0.36</v>
      </c>
      <c r="K10" s="4">
        <f t="shared" si="2"/>
        <v>0.36</v>
      </c>
    </row>
    <row r="11" spans="1:11" ht="18.75" x14ac:dyDescent="0.25">
      <c r="A11" s="46" t="s">
        <v>12</v>
      </c>
      <c r="B11" s="47"/>
      <c r="C11" s="47"/>
      <c r="D11" s="48"/>
      <c r="E11" s="11">
        <f>SUM(E4:E8)</f>
        <v>85.212000000000003</v>
      </c>
      <c r="G11" s="46" t="s">
        <v>12</v>
      </c>
      <c r="H11" s="47"/>
      <c r="I11" s="47"/>
      <c r="J11" s="48"/>
      <c r="K11" s="11">
        <f>SUM(K4:K8)</f>
        <v>24.583999999999996</v>
      </c>
    </row>
    <row r="12" spans="1:11" x14ac:dyDescent="0.25">
      <c r="A12" s="3"/>
      <c r="B12" s="3"/>
      <c r="C12" s="1"/>
      <c r="D12" s="4"/>
      <c r="E12" s="4">
        <f>B12*D12</f>
        <v>0</v>
      </c>
      <c r="G12" s="3"/>
      <c r="H12" s="3"/>
      <c r="I12" s="1"/>
      <c r="J12" s="4"/>
      <c r="K12" s="4">
        <f>H12*J12</f>
        <v>0</v>
      </c>
    </row>
    <row r="13" spans="1:11" x14ac:dyDescent="0.25">
      <c r="A13" s="3" t="s">
        <v>40</v>
      </c>
      <c r="B13" s="3">
        <v>1</v>
      </c>
      <c r="C13" s="1" t="s">
        <v>13</v>
      </c>
      <c r="D13" s="4">
        <v>17</v>
      </c>
      <c r="E13" s="4">
        <f t="shared" ref="E13:E15" si="3">B13*D13</f>
        <v>17</v>
      </c>
      <c r="G13" s="3" t="s">
        <v>40</v>
      </c>
      <c r="H13" s="3">
        <v>1</v>
      </c>
      <c r="I13" s="1" t="s">
        <v>13</v>
      </c>
      <c r="J13" s="4">
        <v>17</v>
      </c>
      <c r="K13" s="4">
        <f t="shared" ref="K13:K15" si="4">H13*J13</f>
        <v>17</v>
      </c>
    </row>
    <row r="14" spans="1:11" x14ac:dyDescent="0.25">
      <c r="A14" s="3"/>
      <c r="B14" s="3"/>
      <c r="C14" s="1"/>
      <c r="D14" s="4"/>
      <c r="E14" s="4"/>
      <c r="G14" s="3"/>
      <c r="H14" s="3"/>
      <c r="I14" s="1"/>
      <c r="J14" s="4"/>
      <c r="K14" s="4"/>
    </row>
    <row r="15" spans="1:11" x14ac:dyDescent="0.25">
      <c r="A15" s="3"/>
      <c r="B15" s="3"/>
      <c r="C15" s="1"/>
      <c r="D15" s="4"/>
      <c r="E15" s="4">
        <f t="shared" si="3"/>
        <v>0</v>
      </c>
      <c r="G15" s="3"/>
      <c r="H15" s="3"/>
      <c r="I15" s="1"/>
      <c r="J15" s="4"/>
      <c r="K15" s="4">
        <f t="shared" ref="K15:K17" si="5">H15*J15</f>
        <v>0</v>
      </c>
    </row>
    <row r="16" spans="1:11" ht="18.75" x14ac:dyDescent="0.25">
      <c r="A16" s="44" t="s">
        <v>15</v>
      </c>
      <c r="B16" s="44"/>
      <c r="C16" s="44"/>
      <c r="D16" s="44"/>
      <c r="E16" s="11">
        <f>SUM(E12:E15)</f>
        <v>17</v>
      </c>
      <c r="G16" s="44" t="s">
        <v>15</v>
      </c>
      <c r="H16" s="44"/>
      <c r="I16" s="44"/>
      <c r="J16" s="44"/>
      <c r="K16" s="11">
        <f>SUM(K12:K15)</f>
        <v>17</v>
      </c>
    </row>
    <row r="17" spans="1:11" ht="15.75" x14ac:dyDescent="0.25">
      <c r="A17" s="49" t="s">
        <v>41</v>
      </c>
      <c r="B17" s="50"/>
      <c r="C17" s="50"/>
      <c r="D17" s="51"/>
      <c r="E17" s="13">
        <f>SUM(E16,E11)*61%</f>
        <v>62.349319999999999</v>
      </c>
      <c r="G17" s="49" t="s">
        <v>41</v>
      </c>
      <c r="H17" s="50"/>
      <c r="I17" s="50"/>
      <c r="J17" s="51"/>
      <c r="K17" s="13">
        <f>SUM(K16,K11)*61%</f>
        <v>25.366239999999998</v>
      </c>
    </row>
    <row r="18" spans="1:11" ht="18.75" x14ac:dyDescent="0.25">
      <c r="A18" s="44" t="s">
        <v>14</v>
      </c>
      <c r="B18" s="44"/>
      <c r="C18" s="44"/>
      <c r="D18" s="44"/>
      <c r="E18" s="11">
        <f>E11+E16+E17</f>
        <v>164.56131999999999</v>
      </c>
      <c r="G18" s="44" t="s">
        <v>14</v>
      </c>
      <c r="H18" s="44"/>
      <c r="I18" s="44"/>
      <c r="J18" s="44"/>
      <c r="K18" s="11">
        <f>K11+K16+K17</f>
        <v>66.950239999999994</v>
      </c>
    </row>
    <row r="19" spans="1:11" ht="15.75" x14ac:dyDescent="0.25">
      <c r="A19" s="55" t="s">
        <v>16</v>
      </c>
      <c r="B19" s="55"/>
      <c r="C19" s="55"/>
      <c r="D19" s="55"/>
      <c r="E19" s="12">
        <f>(E20-E18)/E18</f>
        <v>1.5522401011367679</v>
      </c>
      <c r="G19" s="55" t="s">
        <v>16</v>
      </c>
      <c r="H19" s="55"/>
      <c r="I19" s="55"/>
      <c r="J19" s="55"/>
      <c r="K19" s="12">
        <f>(K20-K18)/K18</f>
        <v>5.2733158238118341</v>
      </c>
    </row>
    <row r="20" spans="1:11" ht="18.75" x14ac:dyDescent="0.25">
      <c r="A20" s="44" t="s">
        <v>17</v>
      </c>
      <c r="B20" s="44"/>
      <c r="C20" s="44"/>
      <c r="D20" s="44"/>
      <c r="E20" s="11">
        <v>420</v>
      </c>
      <c r="G20" s="44" t="s">
        <v>17</v>
      </c>
      <c r="H20" s="44"/>
      <c r="I20" s="44"/>
      <c r="J20" s="44"/>
      <c r="K20" s="11">
        <v>420</v>
      </c>
    </row>
  </sheetData>
  <mergeCells count="14">
    <mergeCell ref="G19:J19"/>
    <mergeCell ref="G20:J20"/>
    <mergeCell ref="G1:K2"/>
    <mergeCell ref="G11:J11"/>
    <mergeCell ref="G16:J16"/>
    <mergeCell ref="G17:J17"/>
    <mergeCell ref="G18:J18"/>
    <mergeCell ref="A20:D20"/>
    <mergeCell ref="A1:E2"/>
    <mergeCell ref="A11:D11"/>
    <mergeCell ref="A16:D16"/>
    <mergeCell ref="A17:D17"/>
    <mergeCell ref="A18:D18"/>
    <mergeCell ref="A19:D19"/>
  </mergeCells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20"/>
  <sheetViews>
    <sheetView workbookViewId="0">
      <selection activeCell="C5" sqref="C5"/>
    </sheetView>
  </sheetViews>
  <sheetFormatPr defaultRowHeight="15" x14ac:dyDescent="0.25"/>
  <cols>
    <col min="1" max="1" width="24.85546875" bestFit="1" customWidth="1"/>
    <col min="2" max="2" width="11.42578125" bestFit="1" customWidth="1"/>
    <col min="4" max="4" width="13.85546875" bestFit="1" customWidth="1"/>
    <col min="5" max="5" width="14.5703125" bestFit="1" customWidth="1"/>
  </cols>
  <sheetData>
    <row r="1" spans="1:5" x14ac:dyDescent="0.25">
      <c r="A1" s="45" t="s">
        <v>152</v>
      </c>
      <c r="B1" s="45"/>
      <c r="C1" s="45"/>
      <c r="D1" s="45"/>
      <c r="E1" s="45"/>
    </row>
    <row r="2" spans="1:5" x14ac:dyDescent="0.25">
      <c r="A2" s="45"/>
      <c r="B2" s="45"/>
      <c r="C2" s="45"/>
      <c r="D2" s="45"/>
      <c r="E2" s="45"/>
    </row>
    <row r="3" spans="1:5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</row>
    <row r="4" spans="1:5" x14ac:dyDescent="0.25">
      <c r="A4" s="31" t="s">
        <v>148</v>
      </c>
      <c r="B4" s="6">
        <v>3</v>
      </c>
      <c r="C4" s="6" t="s">
        <v>10</v>
      </c>
      <c r="D4" s="4">
        <v>26.36</v>
      </c>
      <c r="E4" s="7">
        <f t="shared" ref="E4:E10" si="0">B4*D4</f>
        <v>79.08</v>
      </c>
    </row>
    <row r="5" spans="1:5" x14ac:dyDescent="0.25">
      <c r="A5" s="31" t="s">
        <v>153</v>
      </c>
      <c r="B5" s="6">
        <v>0.8</v>
      </c>
      <c r="C5" s="6" t="s">
        <v>10</v>
      </c>
      <c r="D5" s="7">
        <v>0.89</v>
      </c>
      <c r="E5" s="7">
        <f>B5*D5</f>
        <v>0.71200000000000008</v>
      </c>
    </row>
    <row r="6" spans="1:5" x14ac:dyDescent="0.25">
      <c r="A6" s="3" t="s">
        <v>43</v>
      </c>
      <c r="B6" s="1">
        <v>1</v>
      </c>
      <c r="C6" s="1" t="s">
        <v>4</v>
      </c>
      <c r="D6" s="4">
        <v>4.75</v>
      </c>
      <c r="E6" s="4">
        <f t="shared" si="0"/>
        <v>4.75</v>
      </c>
    </row>
    <row r="7" spans="1:5" x14ac:dyDescent="0.25">
      <c r="A7" s="3" t="s">
        <v>84</v>
      </c>
      <c r="B7" s="1">
        <v>1</v>
      </c>
      <c r="C7" s="1" t="s">
        <v>4</v>
      </c>
      <c r="D7" s="4">
        <v>0.27</v>
      </c>
      <c r="E7" s="4">
        <f t="shared" si="0"/>
        <v>0.27</v>
      </c>
    </row>
    <row r="8" spans="1:5" x14ac:dyDescent="0.25">
      <c r="A8" s="5" t="s">
        <v>11</v>
      </c>
      <c r="B8" s="6">
        <v>10</v>
      </c>
      <c r="C8" s="6" t="s">
        <v>10</v>
      </c>
      <c r="D8" s="7">
        <v>0.04</v>
      </c>
      <c r="E8" s="7">
        <f t="shared" si="0"/>
        <v>0.4</v>
      </c>
    </row>
    <row r="9" spans="1:5" x14ac:dyDescent="0.25">
      <c r="A9" s="5" t="s">
        <v>18</v>
      </c>
      <c r="B9" s="6">
        <v>1</v>
      </c>
      <c r="C9" s="6" t="s">
        <v>4</v>
      </c>
      <c r="D9" s="7">
        <v>0.36</v>
      </c>
      <c r="E9" s="7">
        <f t="shared" si="0"/>
        <v>0.36</v>
      </c>
    </row>
    <row r="10" spans="1:5" x14ac:dyDescent="0.25">
      <c r="A10" s="3" t="s">
        <v>85</v>
      </c>
      <c r="B10" s="1">
        <v>1</v>
      </c>
      <c r="C10" s="1" t="s">
        <v>86</v>
      </c>
      <c r="D10" s="4">
        <v>0.36</v>
      </c>
      <c r="E10" s="4">
        <f t="shared" si="0"/>
        <v>0.36</v>
      </c>
    </row>
    <row r="11" spans="1:5" ht="18.75" x14ac:dyDescent="0.25">
      <c r="A11" s="46" t="s">
        <v>12</v>
      </c>
      <c r="B11" s="47"/>
      <c r="C11" s="47"/>
      <c r="D11" s="48"/>
      <c r="E11" s="11">
        <f>SUM(E4:E8)</f>
        <v>85.212000000000003</v>
      </c>
    </row>
    <row r="12" spans="1:5" x14ac:dyDescent="0.25">
      <c r="A12" s="3"/>
      <c r="B12" s="3"/>
      <c r="C12" s="1"/>
      <c r="D12" s="4"/>
      <c r="E12" s="4">
        <f>B12*D12</f>
        <v>0</v>
      </c>
    </row>
    <row r="13" spans="1:5" x14ac:dyDescent="0.25">
      <c r="A13" s="3" t="s">
        <v>40</v>
      </c>
      <c r="B13" s="3">
        <v>1</v>
      </c>
      <c r="C13" s="1" t="s">
        <v>13</v>
      </c>
      <c r="D13" s="4">
        <v>17</v>
      </c>
      <c r="E13" s="4">
        <v>17</v>
      </c>
    </row>
    <row r="14" spans="1:5" x14ac:dyDescent="0.25">
      <c r="A14" s="3"/>
      <c r="B14" s="3"/>
      <c r="C14" s="1"/>
      <c r="D14" s="4"/>
      <c r="E14" s="4"/>
    </row>
    <row r="15" spans="1:5" x14ac:dyDescent="0.25">
      <c r="A15" s="3"/>
      <c r="B15" s="3"/>
      <c r="C15" s="1"/>
      <c r="D15" s="4"/>
      <c r="E15" s="4">
        <f t="shared" ref="E15" si="1">B15*D15</f>
        <v>0</v>
      </c>
    </row>
    <row r="16" spans="1:5" ht="18.75" x14ac:dyDescent="0.25">
      <c r="A16" s="44" t="s">
        <v>15</v>
      </c>
      <c r="B16" s="44"/>
      <c r="C16" s="44"/>
      <c r="D16" s="44"/>
      <c r="E16" s="11">
        <f>SUM(E12:E15)</f>
        <v>17</v>
      </c>
    </row>
    <row r="17" spans="1:5" ht="15.75" x14ac:dyDescent="0.25">
      <c r="A17" s="49" t="s">
        <v>41</v>
      </c>
      <c r="B17" s="50"/>
      <c r="C17" s="50"/>
      <c r="D17" s="51"/>
      <c r="E17" s="13">
        <f>SUM(E16,E11)*61%</f>
        <v>62.349319999999999</v>
      </c>
    </row>
    <row r="18" spans="1:5" ht="18.75" x14ac:dyDescent="0.25">
      <c r="A18" s="44" t="s">
        <v>14</v>
      </c>
      <c r="B18" s="44"/>
      <c r="C18" s="44"/>
      <c r="D18" s="44"/>
      <c r="E18" s="11">
        <f>E11+E16+E17</f>
        <v>164.56131999999999</v>
      </c>
    </row>
    <row r="19" spans="1:5" ht="15.75" x14ac:dyDescent="0.25">
      <c r="A19" s="55" t="s">
        <v>16</v>
      </c>
      <c r="B19" s="55"/>
      <c r="C19" s="55"/>
      <c r="D19" s="55"/>
      <c r="E19" s="12">
        <f>(E20-E18)/E18</f>
        <v>1.5522401011367679</v>
      </c>
    </row>
    <row r="20" spans="1:5" ht="18.75" x14ac:dyDescent="0.25">
      <c r="A20" s="44" t="s">
        <v>17</v>
      </c>
      <c r="B20" s="44"/>
      <c r="C20" s="44"/>
      <c r="D20" s="44"/>
      <c r="E20" s="11">
        <v>420</v>
      </c>
    </row>
  </sheetData>
  <mergeCells count="7">
    <mergeCell ref="A20:D20"/>
    <mergeCell ref="A1:E2"/>
    <mergeCell ref="A11:D11"/>
    <mergeCell ref="A16:D16"/>
    <mergeCell ref="A17:D17"/>
    <mergeCell ref="A18:D18"/>
    <mergeCell ref="A19:D19"/>
  </mergeCells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24"/>
  <sheetViews>
    <sheetView workbookViewId="0">
      <selection activeCell="H21" sqref="H21"/>
    </sheetView>
  </sheetViews>
  <sheetFormatPr defaultRowHeight="15" x14ac:dyDescent="0.25"/>
  <cols>
    <col min="1" max="1" width="24.85546875" bestFit="1" customWidth="1"/>
    <col min="2" max="2" width="11.42578125" bestFit="1" customWidth="1"/>
    <col min="3" max="3" width="8.5703125" bestFit="1" customWidth="1"/>
    <col min="4" max="4" width="13.85546875" bestFit="1" customWidth="1"/>
    <col min="5" max="5" width="18.140625" bestFit="1" customWidth="1"/>
  </cols>
  <sheetData>
    <row r="1" spans="1:5" x14ac:dyDescent="0.25">
      <c r="A1" s="45" t="s">
        <v>55</v>
      </c>
      <c r="B1" s="45"/>
      <c r="C1" s="45"/>
      <c r="D1" s="45"/>
      <c r="E1" s="45"/>
    </row>
    <row r="2" spans="1:5" x14ac:dyDescent="0.25">
      <c r="A2" s="45"/>
      <c r="B2" s="45"/>
      <c r="C2" s="45"/>
      <c r="D2" s="45"/>
      <c r="E2" s="45"/>
    </row>
    <row r="3" spans="1:5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</row>
    <row r="4" spans="1:5" x14ac:dyDescent="0.25">
      <c r="A4" s="31" t="s">
        <v>37</v>
      </c>
      <c r="B4" s="1">
        <v>2</v>
      </c>
      <c r="C4" s="1" t="s">
        <v>10</v>
      </c>
      <c r="D4" s="4">
        <v>10.16</v>
      </c>
      <c r="E4" s="4">
        <f t="shared" ref="E4:E9" si="0">B4*D4</f>
        <v>20.32</v>
      </c>
    </row>
    <row r="5" spans="1:5" x14ac:dyDescent="0.25">
      <c r="A5" s="31" t="s">
        <v>47</v>
      </c>
      <c r="B5" s="6">
        <v>1</v>
      </c>
      <c r="C5" s="6" t="s">
        <v>4</v>
      </c>
      <c r="D5" s="7">
        <v>7.49</v>
      </c>
      <c r="E5" s="7">
        <f t="shared" si="0"/>
        <v>7.49</v>
      </c>
    </row>
    <row r="6" spans="1:5" x14ac:dyDescent="0.25">
      <c r="A6" s="3" t="s">
        <v>43</v>
      </c>
      <c r="B6" s="1">
        <v>1</v>
      </c>
      <c r="C6" s="1" t="s">
        <v>4</v>
      </c>
      <c r="D6" s="4">
        <v>4.75</v>
      </c>
      <c r="E6" s="4">
        <f t="shared" si="0"/>
        <v>4.75</v>
      </c>
    </row>
    <row r="7" spans="1:5" x14ac:dyDescent="0.25">
      <c r="A7" t="s">
        <v>84</v>
      </c>
      <c r="B7" s="1">
        <v>1</v>
      </c>
      <c r="C7" s="1" t="s">
        <v>4</v>
      </c>
      <c r="D7" s="4">
        <v>0.27</v>
      </c>
      <c r="E7" s="4">
        <f t="shared" si="0"/>
        <v>0.27</v>
      </c>
    </row>
    <row r="8" spans="1:5" x14ac:dyDescent="0.25">
      <c r="A8" s="3" t="s">
        <v>11</v>
      </c>
      <c r="B8" s="1">
        <v>10</v>
      </c>
      <c r="C8" s="1" t="s">
        <v>10</v>
      </c>
      <c r="D8" s="4">
        <v>0.04</v>
      </c>
      <c r="E8" s="4">
        <f t="shared" si="0"/>
        <v>0.4</v>
      </c>
    </row>
    <row r="9" spans="1:5" x14ac:dyDescent="0.25">
      <c r="A9" s="3" t="s">
        <v>18</v>
      </c>
      <c r="B9" s="1">
        <v>1</v>
      </c>
      <c r="C9" s="1" t="s">
        <v>4</v>
      </c>
      <c r="D9" s="4">
        <v>0.36</v>
      </c>
      <c r="E9" s="4">
        <f t="shared" si="0"/>
        <v>0.36</v>
      </c>
    </row>
    <row r="10" spans="1:5" x14ac:dyDescent="0.25">
      <c r="A10" s="31" t="s">
        <v>24</v>
      </c>
      <c r="B10" s="18">
        <v>0.6</v>
      </c>
      <c r="C10" s="3" t="s">
        <v>45</v>
      </c>
      <c r="D10" s="4">
        <v>1.02</v>
      </c>
      <c r="E10" s="4">
        <v>6</v>
      </c>
    </row>
    <row r="11" spans="1:5" x14ac:dyDescent="0.25">
      <c r="A11" s="3" t="s">
        <v>85</v>
      </c>
      <c r="B11" s="1">
        <v>1</v>
      </c>
      <c r="C11" s="1" t="s">
        <v>86</v>
      </c>
      <c r="D11" s="4">
        <v>0.36</v>
      </c>
      <c r="E11" s="4">
        <f>B11*D11</f>
        <v>0.36</v>
      </c>
    </row>
    <row r="12" spans="1:5" ht="18.75" x14ac:dyDescent="0.25">
      <c r="A12" s="46" t="s">
        <v>12</v>
      </c>
      <c r="B12" s="47"/>
      <c r="C12" s="47"/>
      <c r="D12" s="48"/>
      <c r="E12" s="11">
        <f>SUM(E4:E11)</f>
        <v>39.950000000000003</v>
      </c>
    </row>
    <row r="13" spans="1:5" ht="18.75" x14ac:dyDescent="0.25">
      <c r="A13" s="10"/>
      <c r="B13" s="10"/>
      <c r="C13" s="10"/>
      <c r="D13" s="11"/>
      <c r="E13" s="11"/>
    </row>
    <row r="14" spans="1:5" x14ac:dyDescent="0.25">
      <c r="A14" s="3"/>
      <c r="B14" s="3"/>
      <c r="C14" s="1"/>
      <c r="D14" s="4"/>
      <c r="E14" s="4"/>
    </row>
    <row r="15" spans="1:5" x14ac:dyDescent="0.25">
      <c r="A15" s="3" t="s">
        <v>40</v>
      </c>
      <c r="B15" s="3">
        <v>1</v>
      </c>
      <c r="C15" s="1" t="s">
        <v>13</v>
      </c>
      <c r="D15" s="4">
        <v>17</v>
      </c>
      <c r="E15" s="4">
        <f t="shared" ref="E15" si="1">B15*D15</f>
        <v>17</v>
      </c>
    </row>
    <row r="16" spans="1:5" x14ac:dyDescent="0.25">
      <c r="A16" s="3"/>
      <c r="B16" s="3"/>
      <c r="C16" s="1"/>
      <c r="D16" s="4"/>
      <c r="E16" s="4"/>
    </row>
    <row r="17" spans="1:6" ht="18.75" x14ac:dyDescent="0.25">
      <c r="A17" s="46" t="s">
        <v>15</v>
      </c>
      <c r="B17" s="47"/>
      <c r="C17" s="47"/>
      <c r="D17" s="48"/>
      <c r="E17" s="11">
        <f>SUM(E14:E16)</f>
        <v>17</v>
      </c>
    </row>
    <row r="18" spans="1:6" ht="15.75" x14ac:dyDescent="0.25">
      <c r="A18" s="49" t="s">
        <v>41</v>
      </c>
      <c r="B18" s="50"/>
      <c r="C18" s="50"/>
      <c r="D18" s="51"/>
      <c r="E18" s="13">
        <f>SUM(E17,E12)*61%</f>
        <v>34.7395</v>
      </c>
    </row>
    <row r="19" spans="1:6" ht="18.75" x14ac:dyDescent="0.25">
      <c r="A19" s="46" t="s">
        <v>14</v>
      </c>
      <c r="B19" s="47"/>
      <c r="C19" s="47"/>
      <c r="D19" s="48"/>
      <c r="E19" s="11">
        <f>SUM(E18,E17,E12)</f>
        <v>91.68950000000001</v>
      </c>
      <c r="F19" s="24"/>
    </row>
    <row r="20" spans="1:6" ht="15.75" x14ac:dyDescent="0.25">
      <c r="A20" s="52" t="s">
        <v>16</v>
      </c>
      <c r="B20" s="53"/>
      <c r="C20" s="53"/>
      <c r="D20" s="54"/>
      <c r="E20" s="25">
        <f>(E21-E19)/E19</f>
        <v>1.5084660729963624</v>
      </c>
      <c r="F20" s="24"/>
    </row>
    <row r="21" spans="1:6" ht="18.75" x14ac:dyDescent="0.25">
      <c r="A21" s="44" t="s">
        <v>17</v>
      </c>
      <c r="B21" s="44"/>
      <c r="C21" s="44"/>
      <c r="D21" s="44"/>
      <c r="E21" s="11">
        <v>230</v>
      </c>
      <c r="F21" s="24"/>
    </row>
    <row r="22" spans="1:6" x14ac:dyDescent="0.25">
      <c r="F22" s="24"/>
    </row>
    <row r="23" spans="1:6" x14ac:dyDescent="0.25">
      <c r="A23" s="27" t="s">
        <v>89</v>
      </c>
      <c r="B23" s="28"/>
      <c r="C23" s="28"/>
      <c r="D23" s="35"/>
    </row>
    <row r="24" spans="1:6" x14ac:dyDescent="0.25">
      <c r="A24" s="33" t="s">
        <v>88</v>
      </c>
      <c r="B24" s="34"/>
    </row>
  </sheetData>
  <sortState xmlns:xlrd2="http://schemas.microsoft.com/office/spreadsheetml/2017/richdata2" ref="A6:E11">
    <sortCondition ref="A5"/>
  </sortState>
  <mergeCells count="7">
    <mergeCell ref="A21:D21"/>
    <mergeCell ref="A1:E2"/>
    <mergeCell ref="A12:D12"/>
    <mergeCell ref="A17:D17"/>
    <mergeCell ref="A18:D18"/>
    <mergeCell ref="A19:D19"/>
    <mergeCell ref="A20:D20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23"/>
  <sheetViews>
    <sheetView workbookViewId="0">
      <selection activeCell="G24" sqref="G24"/>
    </sheetView>
  </sheetViews>
  <sheetFormatPr defaultRowHeight="15" x14ac:dyDescent="0.25"/>
  <cols>
    <col min="1" max="1" width="24.85546875" bestFit="1" customWidth="1"/>
    <col min="2" max="2" width="11.42578125" bestFit="1" customWidth="1"/>
    <col min="3" max="3" width="8.5703125" bestFit="1" customWidth="1"/>
    <col min="4" max="4" width="13.85546875" bestFit="1" customWidth="1"/>
    <col min="5" max="5" width="14.5703125" bestFit="1" customWidth="1"/>
  </cols>
  <sheetData>
    <row r="1" spans="1:5" x14ac:dyDescent="0.25">
      <c r="A1" s="45" t="s">
        <v>53</v>
      </c>
      <c r="B1" s="45"/>
      <c r="C1" s="45"/>
      <c r="D1" s="45"/>
      <c r="E1" s="45"/>
    </row>
    <row r="2" spans="1:5" x14ac:dyDescent="0.25">
      <c r="A2" s="45"/>
      <c r="B2" s="45"/>
      <c r="C2" s="45"/>
      <c r="D2" s="45"/>
      <c r="E2" s="45"/>
    </row>
    <row r="3" spans="1:5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</row>
    <row r="4" spans="1:5" ht="16.5" customHeight="1" x14ac:dyDescent="0.25">
      <c r="A4" s="31" t="s">
        <v>8</v>
      </c>
      <c r="B4" s="6">
        <v>2</v>
      </c>
      <c r="C4" s="6" t="s">
        <v>10</v>
      </c>
      <c r="D4" s="7">
        <v>14.26</v>
      </c>
      <c r="E4" s="7">
        <f t="shared" ref="E4:E10" si="0">B4*D4</f>
        <v>28.52</v>
      </c>
    </row>
    <row r="5" spans="1:5" x14ac:dyDescent="0.25">
      <c r="A5" s="3" t="s">
        <v>43</v>
      </c>
      <c r="B5" s="1">
        <v>1</v>
      </c>
      <c r="C5" s="1" t="s">
        <v>4</v>
      </c>
      <c r="D5" s="4">
        <v>4.75</v>
      </c>
      <c r="E5" s="4">
        <f t="shared" si="0"/>
        <v>4.75</v>
      </c>
    </row>
    <row r="6" spans="1:5" ht="16.5" customHeight="1" x14ac:dyDescent="0.25">
      <c r="A6" s="3" t="s">
        <v>84</v>
      </c>
      <c r="B6" s="1">
        <v>1</v>
      </c>
      <c r="C6" s="1" t="s">
        <v>4</v>
      </c>
      <c r="D6" s="4">
        <v>0.27</v>
      </c>
      <c r="E6" s="4">
        <f t="shared" si="0"/>
        <v>0.27</v>
      </c>
    </row>
    <row r="7" spans="1:5" ht="16.5" customHeight="1" x14ac:dyDescent="0.25">
      <c r="A7" s="5" t="s">
        <v>11</v>
      </c>
      <c r="B7" s="6">
        <v>10</v>
      </c>
      <c r="C7" s="6" t="s">
        <v>10</v>
      </c>
      <c r="D7" s="7">
        <v>0.04</v>
      </c>
      <c r="E7" s="7">
        <f t="shared" si="0"/>
        <v>0.4</v>
      </c>
    </row>
    <row r="8" spans="1:5" ht="16.5" customHeight="1" x14ac:dyDescent="0.25">
      <c r="A8" s="5" t="s">
        <v>18</v>
      </c>
      <c r="B8" s="6">
        <v>1</v>
      </c>
      <c r="C8" s="6" t="s">
        <v>4</v>
      </c>
      <c r="D8" s="7">
        <v>0.36</v>
      </c>
      <c r="E8" s="7">
        <f t="shared" si="0"/>
        <v>0.36</v>
      </c>
    </row>
    <row r="9" spans="1:5" x14ac:dyDescent="0.25">
      <c r="A9" s="3" t="s">
        <v>85</v>
      </c>
      <c r="B9" s="1">
        <v>1</v>
      </c>
      <c r="C9" s="1" t="s">
        <v>86</v>
      </c>
      <c r="D9" s="4">
        <v>0.36</v>
      </c>
      <c r="E9" s="4">
        <f t="shared" si="0"/>
        <v>0.36</v>
      </c>
    </row>
    <row r="10" spans="1:5" x14ac:dyDescent="0.25">
      <c r="A10" s="31" t="s">
        <v>23</v>
      </c>
      <c r="B10" s="6">
        <v>1</v>
      </c>
      <c r="C10" s="6" t="s">
        <v>4</v>
      </c>
      <c r="D10" s="7">
        <v>2.39</v>
      </c>
      <c r="E10" s="7">
        <f t="shared" si="0"/>
        <v>2.39</v>
      </c>
    </row>
    <row r="12" spans="1:5" ht="18.75" x14ac:dyDescent="0.25">
      <c r="A12" s="46" t="s">
        <v>12</v>
      </c>
      <c r="B12" s="47"/>
      <c r="C12" s="47"/>
      <c r="D12" s="48"/>
      <c r="E12" s="11">
        <f>SUM(E4:E10)</f>
        <v>37.049999999999997</v>
      </c>
    </row>
    <row r="13" spans="1:5" ht="18.75" x14ac:dyDescent="0.25">
      <c r="A13" s="19"/>
      <c r="B13" s="20"/>
      <c r="C13" s="20"/>
      <c r="D13" s="21"/>
      <c r="E13" s="11"/>
    </row>
    <row r="14" spans="1:5" x14ac:dyDescent="0.25">
      <c r="A14" s="3"/>
      <c r="B14" s="3"/>
      <c r="C14" s="1"/>
      <c r="D14" s="4"/>
      <c r="E14" s="4">
        <f>B14*D14</f>
        <v>0</v>
      </c>
    </row>
    <row r="15" spans="1:5" x14ac:dyDescent="0.25">
      <c r="A15" s="3" t="s">
        <v>40</v>
      </c>
      <c r="B15" s="3">
        <v>1</v>
      </c>
      <c r="C15" s="1" t="s">
        <v>13</v>
      </c>
      <c r="D15" s="4">
        <v>17</v>
      </c>
      <c r="E15" s="4">
        <f t="shared" ref="E15:E16" si="1">B15*D15</f>
        <v>17</v>
      </c>
    </row>
    <row r="16" spans="1:5" x14ac:dyDescent="0.25">
      <c r="A16" s="3"/>
      <c r="B16" s="3"/>
      <c r="C16" s="1"/>
      <c r="D16" s="4"/>
      <c r="E16" s="4">
        <f t="shared" si="1"/>
        <v>0</v>
      </c>
    </row>
    <row r="17" spans="1:6" ht="18.75" x14ac:dyDescent="0.25">
      <c r="A17" s="46" t="s">
        <v>15</v>
      </c>
      <c r="B17" s="47"/>
      <c r="C17" s="47"/>
      <c r="D17" s="48"/>
      <c r="E17" s="11">
        <f>SUM(E14:E16)</f>
        <v>17</v>
      </c>
    </row>
    <row r="18" spans="1:6" ht="15.75" x14ac:dyDescent="0.25">
      <c r="A18" s="49" t="s">
        <v>41</v>
      </c>
      <c r="B18" s="50"/>
      <c r="C18" s="50"/>
      <c r="D18" s="51"/>
      <c r="E18" s="13">
        <f>SUM(E17,E12)*61%</f>
        <v>32.970499999999994</v>
      </c>
    </row>
    <row r="19" spans="1:6" ht="18.75" x14ac:dyDescent="0.25">
      <c r="A19" s="46" t="s">
        <v>14</v>
      </c>
      <c r="B19" s="47"/>
      <c r="C19" s="47"/>
      <c r="D19" s="48"/>
      <c r="E19" s="11">
        <f>E12+E17+E18</f>
        <v>87.020499999999998</v>
      </c>
    </row>
    <row r="20" spans="1:6" ht="15.75" x14ac:dyDescent="0.25">
      <c r="A20" s="52" t="s">
        <v>16</v>
      </c>
      <c r="B20" s="53"/>
      <c r="C20" s="53"/>
      <c r="D20" s="54"/>
      <c r="E20" s="12">
        <f>(E21-E19)/E19</f>
        <v>2.9071253325365864</v>
      </c>
    </row>
    <row r="21" spans="1:6" ht="18.75" x14ac:dyDescent="0.25">
      <c r="A21" s="46" t="s">
        <v>17</v>
      </c>
      <c r="B21" s="47"/>
      <c r="C21" s="47"/>
      <c r="D21" s="48"/>
      <c r="E21" s="11">
        <v>340</v>
      </c>
      <c r="F21" s="24"/>
    </row>
    <row r="23" spans="1:6" x14ac:dyDescent="0.25">
      <c r="A23" s="3" t="s">
        <v>88</v>
      </c>
      <c r="B23" s="31"/>
    </row>
  </sheetData>
  <sortState xmlns:xlrd2="http://schemas.microsoft.com/office/spreadsheetml/2017/richdata2" ref="A5:E10">
    <sortCondition ref="A5"/>
  </sortState>
  <mergeCells count="7">
    <mergeCell ref="A20:D20"/>
    <mergeCell ref="A21:D21"/>
    <mergeCell ref="A1:E2"/>
    <mergeCell ref="A12:D12"/>
    <mergeCell ref="A17:D17"/>
    <mergeCell ref="A18:D18"/>
    <mergeCell ref="A19:D19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23"/>
  <sheetViews>
    <sheetView workbookViewId="0">
      <selection activeCell="A4" sqref="A4"/>
    </sheetView>
  </sheetViews>
  <sheetFormatPr defaultRowHeight="15" x14ac:dyDescent="0.25"/>
  <cols>
    <col min="1" max="1" width="24.85546875" bestFit="1" customWidth="1"/>
    <col min="2" max="2" width="11.42578125" bestFit="1" customWidth="1"/>
    <col min="3" max="3" width="10.42578125" customWidth="1"/>
    <col min="4" max="4" width="13.85546875" bestFit="1" customWidth="1"/>
    <col min="5" max="5" width="14.5703125" bestFit="1" customWidth="1"/>
  </cols>
  <sheetData>
    <row r="1" spans="1:5" x14ac:dyDescent="0.25">
      <c r="A1" s="45" t="s">
        <v>69</v>
      </c>
      <c r="B1" s="45"/>
      <c r="C1" s="45"/>
      <c r="D1" s="45"/>
      <c r="E1" s="45"/>
    </row>
    <row r="2" spans="1:5" x14ac:dyDescent="0.25">
      <c r="A2" s="45"/>
      <c r="B2" s="45"/>
      <c r="C2" s="45"/>
      <c r="D2" s="45"/>
      <c r="E2" s="45"/>
    </row>
    <row r="3" spans="1:5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</row>
    <row r="4" spans="1:5" x14ac:dyDescent="0.25">
      <c r="A4" s="31" t="s">
        <v>8</v>
      </c>
      <c r="B4" s="6">
        <v>3</v>
      </c>
      <c r="C4" s="6" t="s">
        <v>10</v>
      </c>
      <c r="D4" s="7">
        <v>14.26</v>
      </c>
      <c r="E4" s="7">
        <f t="shared" ref="E4:E9" si="0">B4*D4</f>
        <v>42.78</v>
      </c>
    </row>
    <row r="5" spans="1:5" x14ac:dyDescent="0.25">
      <c r="A5" s="31" t="s">
        <v>39</v>
      </c>
      <c r="B5" s="6">
        <v>1.3</v>
      </c>
      <c r="C5" s="6" t="s">
        <v>10</v>
      </c>
      <c r="D5" s="7">
        <v>1.55</v>
      </c>
      <c r="E5" s="7">
        <f t="shared" si="0"/>
        <v>2.0150000000000001</v>
      </c>
    </row>
    <row r="6" spans="1:5" x14ac:dyDescent="0.25">
      <c r="A6" s="3" t="s">
        <v>43</v>
      </c>
      <c r="B6" s="1">
        <v>1</v>
      </c>
      <c r="C6" s="1" t="s">
        <v>4</v>
      </c>
      <c r="D6" s="4">
        <v>4.75</v>
      </c>
      <c r="E6" s="4">
        <f t="shared" si="0"/>
        <v>4.75</v>
      </c>
    </row>
    <row r="7" spans="1:5" x14ac:dyDescent="0.25">
      <c r="A7" s="3" t="s">
        <v>84</v>
      </c>
      <c r="B7" s="1">
        <v>1</v>
      </c>
      <c r="C7" s="1" t="s">
        <v>4</v>
      </c>
      <c r="D7" s="4">
        <v>0.27</v>
      </c>
      <c r="E7" s="4">
        <f t="shared" si="0"/>
        <v>0.27</v>
      </c>
    </row>
    <row r="8" spans="1:5" x14ac:dyDescent="0.25">
      <c r="A8" s="5" t="s">
        <v>11</v>
      </c>
      <c r="B8" s="6">
        <v>10</v>
      </c>
      <c r="C8" s="6" t="s">
        <v>10</v>
      </c>
      <c r="D8" s="7">
        <v>0.04</v>
      </c>
      <c r="E8" s="7">
        <f t="shared" si="0"/>
        <v>0.4</v>
      </c>
    </row>
    <row r="9" spans="1:5" x14ac:dyDescent="0.25">
      <c r="A9" s="5" t="s">
        <v>18</v>
      </c>
      <c r="B9" s="6">
        <v>1</v>
      </c>
      <c r="C9" s="6" t="s">
        <v>4</v>
      </c>
      <c r="D9" s="7">
        <v>0.69</v>
      </c>
      <c r="E9" s="7">
        <f t="shared" si="0"/>
        <v>0.69</v>
      </c>
    </row>
    <row r="10" spans="1:5" x14ac:dyDescent="0.25">
      <c r="A10" s="31" t="s">
        <v>24</v>
      </c>
      <c r="B10" s="6">
        <v>1.4</v>
      </c>
      <c r="C10" s="6" t="s">
        <v>46</v>
      </c>
      <c r="D10" s="4">
        <v>1.02</v>
      </c>
      <c r="E10" s="7">
        <v>12.46</v>
      </c>
    </row>
    <row r="11" spans="1:5" x14ac:dyDescent="0.25">
      <c r="A11" s="3" t="s">
        <v>85</v>
      </c>
      <c r="B11" s="1">
        <v>1</v>
      </c>
      <c r="C11" s="1" t="s">
        <v>86</v>
      </c>
      <c r="D11" s="4">
        <v>0.36</v>
      </c>
      <c r="E11" s="4">
        <f>B11*D11</f>
        <v>0.36</v>
      </c>
    </row>
    <row r="12" spans="1:5" ht="30" customHeight="1" x14ac:dyDescent="0.25">
      <c r="A12" s="46" t="s">
        <v>12</v>
      </c>
      <c r="B12" s="47"/>
      <c r="C12" s="47"/>
      <c r="D12" s="48"/>
      <c r="E12" s="11">
        <f>SUM(E4:E11)</f>
        <v>63.725000000000001</v>
      </c>
    </row>
    <row r="13" spans="1:5" x14ac:dyDescent="0.25">
      <c r="A13" s="3"/>
      <c r="B13" s="3"/>
      <c r="C13" s="1"/>
      <c r="D13" s="4"/>
      <c r="E13" s="4">
        <f>B13*D13</f>
        <v>0</v>
      </c>
    </row>
    <row r="14" spans="1:5" x14ac:dyDescent="0.25">
      <c r="A14" s="3" t="s">
        <v>40</v>
      </c>
      <c r="B14" s="3">
        <v>1</v>
      </c>
      <c r="C14" s="1" t="s">
        <v>13</v>
      </c>
      <c r="D14" s="4">
        <v>17</v>
      </c>
      <c r="E14" s="4">
        <f t="shared" ref="E14:E16" si="1">B14*D14</f>
        <v>17</v>
      </c>
    </row>
    <row r="15" spans="1:5" x14ac:dyDescent="0.25">
      <c r="A15" s="3"/>
      <c r="B15" s="3"/>
      <c r="C15" s="1"/>
      <c r="D15" s="4"/>
      <c r="E15" s="4"/>
    </row>
    <row r="16" spans="1:5" x14ac:dyDescent="0.25">
      <c r="A16" s="3"/>
      <c r="B16" s="3"/>
      <c r="C16" s="1"/>
      <c r="D16" s="4"/>
      <c r="E16" s="4">
        <f t="shared" si="1"/>
        <v>0</v>
      </c>
    </row>
    <row r="17" spans="1:6" ht="30" customHeight="1" x14ac:dyDescent="0.25">
      <c r="A17" s="44" t="s">
        <v>15</v>
      </c>
      <c r="B17" s="44"/>
      <c r="C17" s="44"/>
      <c r="D17" s="44"/>
      <c r="E17" s="11">
        <f>SUM(E13:E16)</f>
        <v>17</v>
      </c>
    </row>
    <row r="18" spans="1:6" ht="15.75" x14ac:dyDescent="0.25">
      <c r="A18" s="49" t="s">
        <v>41</v>
      </c>
      <c r="B18" s="50"/>
      <c r="C18" s="50"/>
      <c r="D18" s="51"/>
      <c r="E18" s="13">
        <f>SUM(E17,E12)*61%</f>
        <v>49.242249999999999</v>
      </c>
    </row>
    <row r="19" spans="1:6" ht="30" customHeight="1" x14ac:dyDescent="0.25">
      <c r="A19" s="44" t="s">
        <v>14</v>
      </c>
      <c r="B19" s="44"/>
      <c r="C19" s="44"/>
      <c r="D19" s="44"/>
      <c r="E19" s="11">
        <f>E12+E17+E18</f>
        <v>129.96724999999998</v>
      </c>
    </row>
    <row r="20" spans="1:6" ht="15.75" x14ac:dyDescent="0.25">
      <c r="A20" s="55" t="s">
        <v>16</v>
      </c>
      <c r="B20" s="55"/>
      <c r="C20" s="55"/>
      <c r="D20" s="55"/>
      <c r="E20" s="12">
        <f>(E21-E19)/E19</f>
        <v>1.6160436571520906</v>
      </c>
    </row>
    <row r="21" spans="1:6" ht="30" customHeight="1" x14ac:dyDescent="0.25">
      <c r="A21" s="44" t="s">
        <v>17</v>
      </c>
      <c r="B21" s="44"/>
      <c r="C21" s="44"/>
      <c r="D21" s="44"/>
      <c r="E21" s="11">
        <v>340</v>
      </c>
      <c r="F21" s="24"/>
    </row>
    <row r="23" spans="1:6" x14ac:dyDescent="0.25">
      <c r="A23" s="3" t="s">
        <v>88</v>
      </c>
      <c r="B23" s="31"/>
    </row>
  </sheetData>
  <sortState xmlns:xlrd2="http://schemas.microsoft.com/office/spreadsheetml/2017/richdata2" ref="A5:E11">
    <sortCondition ref="A5"/>
  </sortState>
  <mergeCells count="7">
    <mergeCell ref="A21:D21"/>
    <mergeCell ref="A1:E2"/>
    <mergeCell ref="A17:D17"/>
    <mergeCell ref="A18:D18"/>
    <mergeCell ref="A19:D19"/>
    <mergeCell ref="A20:D20"/>
    <mergeCell ref="A12:D1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46"/>
  <sheetViews>
    <sheetView topLeftCell="A25" workbookViewId="0">
      <selection activeCell="F43" sqref="F43"/>
    </sheetView>
  </sheetViews>
  <sheetFormatPr defaultRowHeight="15" x14ac:dyDescent="0.25"/>
  <cols>
    <col min="1" max="1" width="24.85546875" bestFit="1" customWidth="1"/>
    <col min="2" max="2" width="11.42578125" bestFit="1" customWidth="1"/>
    <col min="3" max="3" width="10.42578125" customWidth="1"/>
    <col min="4" max="4" width="13.85546875" bestFit="1" customWidth="1"/>
    <col min="5" max="5" width="14.5703125" bestFit="1" customWidth="1"/>
  </cols>
  <sheetData>
    <row r="1" spans="1:5" x14ac:dyDescent="0.25">
      <c r="A1" s="45" t="s">
        <v>102</v>
      </c>
      <c r="B1" s="45"/>
      <c r="C1" s="45"/>
      <c r="D1" s="45"/>
      <c r="E1" s="45"/>
    </row>
    <row r="2" spans="1:5" x14ac:dyDescent="0.25">
      <c r="A2" s="45"/>
      <c r="B2" s="45"/>
      <c r="C2" s="45"/>
      <c r="D2" s="45"/>
      <c r="E2" s="45"/>
    </row>
    <row r="3" spans="1:5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</row>
    <row r="4" spans="1:5" x14ac:dyDescent="0.25">
      <c r="A4" s="31" t="s">
        <v>37</v>
      </c>
      <c r="B4" s="6">
        <v>3</v>
      </c>
      <c r="C4" s="6" t="s">
        <v>10</v>
      </c>
      <c r="D4" s="4">
        <v>10.16</v>
      </c>
      <c r="E4" s="7">
        <f t="shared" ref="E4:E10" si="0">B4*D4</f>
        <v>30.48</v>
      </c>
    </row>
    <row r="5" spans="1:5" x14ac:dyDescent="0.25">
      <c r="A5" s="31" t="s">
        <v>70</v>
      </c>
      <c r="B5" s="6">
        <v>1.3</v>
      </c>
      <c r="C5" s="6" t="s">
        <v>10</v>
      </c>
      <c r="D5" s="7">
        <v>2.44</v>
      </c>
      <c r="E5" s="7">
        <f t="shared" si="0"/>
        <v>3.1720000000000002</v>
      </c>
    </row>
    <row r="6" spans="1:5" x14ac:dyDescent="0.25">
      <c r="A6" s="3" t="s">
        <v>43</v>
      </c>
      <c r="B6" s="1">
        <v>1</v>
      </c>
      <c r="C6" s="1" t="s">
        <v>4</v>
      </c>
      <c r="D6" s="4">
        <v>4.75</v>
      </c>
      <c r="E6" s="4">
        <f t="shared" si="0"/>
        <v>4.75</v>
      </c>
    </row>
    <row r="7" spans="1:5" x14ac:dyDescent="0.25">
      <c r="A7" s="3" t="s">
        <v>84</v>
      </c>
      <c r="B7" s="1">
        <v>1</v>
      </c>
      <c r="C7" s="1" t="s">
        <v>4</v>
      </c>
      <c r="D7" s="4">
        <v>0.27</v>
      </c>
      <c r="E7" s="4">
        <f t="shared" si="0"/>
        <v>0.27</v>
      </c>
    </row>
    <row r="8" spans="1:5" x14ac:dyDescent="0.25">
      <c r="A8" s="5" t="s">
        <v>11</v>
      </c>
      <c r="B8" s="6">
        <v>10</v>
      </c>
      <c r="C8" s="6" t="s">
        <v>10</v>
      </c>
      <c r="D8" s="7">
        <v>0.04</v>
      </c>
      <c r="E8" s="7">
        <f t="shared" si="0"/>
        <v>0.4</v>
      </c>
    </row>
    <row r="9" spans="1:5" x14ac:dyDescent="0.25">
      <c r="A9" s="5" t="s">
        <v>18</v>
      </c>
      <c r="B9" s="6">
        <v>1</v>
      </c>
      <c r="C9" s="6" t="s">
        <v>4</v>
      </c>
      <c r="D9" s="7">
        <v>0.69</v>
      </c>
      <c r="E9" s="7">
        <f t="shared" si="0"/>
        <v>0.69</v>
      </c>
    </row>
    <row r="10" spans="1:5" x14ac:dyDescent="0.25">
      <c r="A10" s="3" t="s">
        <v>85</v>
      </c>
      <c r="B10" s="1">
        <v>1</v>
      </c>
      <c r="C10" s="1" t="s">
        <v>86</v>
      </c>
      <c r="D10" s="4">
        <v>0.36</v>
      </c>
      <c r="E10" s="4">
        <f t="shared" si="0"/>
        <v>0.36</v>
      </c>
    </row>
    <row r="11" spans="1:5" ht="18.75" x14ac:dyDescent="0.25">
      <c r="A11" s="46" t="s">
        <v>12</v>
      </c>
      <c r="B11" s="47"/>
      <c r="C11" s="47"/>
      <c r="D11" s="48"/>
      <c r="E11" s="11">
        <f>SUM(E4:E8)</f>
        <v>39.072000000000003</v>
      </c>
    </row>
    <row r="12" spans="1:5" x14ac:dyDescent="0.25">
      <c r="A12" s="3"/>
      <c r="B12" s="3"/>
      <c r="C12" s="1"/>
      <c r="D12" s="4"/>
      <c r="E12" s="4">
        <f>B12*D12</f>
        <v>0</v>
      </c>
    </row>
    <row r="13" spans="1:5" x14ac:dyDescent="0.25">
      <c r="A13" s="3" t="s">
        <v>40</v>
      </c>
      <c r="B13" s="3">
        <v>1</v>
      </c>
      <c r="C13" s="1" t="s">
        <v>13</v>
      </c>
      <c r="D13" s="4">
        <v>17</v>
      </c>
      <c r="E13" s="4">
        <f t="shared" ref="E13:E15" si="1">B13*D13</f>
        <v>17</v>
      </c>
    </row>
    <row r="14" spans="1:5" x14ac:dyDescent="0.25">
      <c r="A14" s="3"/>
      <c r="B14" s="3"/>
      <c r="C14" s="1"/>
      <c r="D14" s="4"/>
      <c r="E14" s="4"/>
    </row>
    <row r="15" spans="1:5" x14ac:dyDescent="0.25">
      <c r="A15" s="3"/>
      <c r="B15" s="3"/>
      <c r="C15" s="1"/>
      <c r="D15" s="4"/>
      <c r="E15" s="4">
        <f t="shared" si="1"/>
        <v>0</v>
      </c>
    </row>
    <row r="16" spans="1:5" ht="18.75" x14ac:dyDescent="0.25">
      <c r="A16" s="44" t="s">
        <v>15</v>
      </c>
      <c r="B16" s="44"/>
      <c r="C16" s="44"/>
      <c r="D16" s="44"/>
      <c r="E16" s="11">
        <f>SUM(E12:E15)</f>
        <v>17</v>
      </c>
    </row>
    <row r="17" spans="1:6" ht="15.75" x14ac:dyDescent="0.25">
      <c r="A17" s="49" t="s">
        <v>41</v>
      </c>
      <c r="B17" s="50"/>
      <c r="C17" s="50"/>
      <c r="D17" s="51"/>
      <c r="E17" s="13">
        <f>SUM(E16,E11)*61%</f>
        <v>34.203920000000004</v>
      </c>
    </row>
    <row r="18" spans="1:6" ht="18.75" x14ac:dyDescent="0.25">
      <c r="A18" s="44" t="s">
        <v>14</v>
      </c>
      <c r="B18" s="44"/>
      <c r="C18" s="44"/>
      <c r="D18" s="44"/>
      <c r="E18" s="11">
        <f>E11+E16+E17</f>
        <v>90.275920000000013</v>
      </c>
    </row>
    <row r="19" spans="1:6" ht="15.75" x14ac:dyDescent="0.25">
      <c r="A19" s="55" t="s">
        <v>16</v>
      </c>
      <c r="B19" s="55"/>
      <c r="C19" s="55"/>
      <c r="D19" s="55"/>
      <c r="E19" s="12">
        <f>(E20-E18)/E18</f>
        <v>1.4369732260828798</v>
      </c>
    </row>
    <row r="20" spans="1:6" ht="18.75" x14ac:dyDescent="0.25">
      <c r="A20" s="44" t="s">
        <v>17</v>
      </c>
      <c r="B20" s="44"/>
      <c r="C20" s="44"/>
      <c r="D20" s="44"/>
      <c r="E20" s="11">
        <v>220</v>
      </c>
      <c r="F20" s="24"/>
    </row>
    <row r="23" spans="1:6" x14ac:dyDescent="0.25">
      <c r="A23" s="45" t="s">
        <v>103</v>
      </c>
      <c r="B23" s="45"/>
      <c r="C23" s="45"/>
      <c r="D23" s="45"/>
      <c r="E23" s="45"/>
    </row>
    <row r="24" spans="1:6" x14ac:dyDescent="0.25">
      <c r="A24" s="45"/>
      <c r="B24" s="45"/>
      <c r="C24" s="45"/>
      <c r="D24" s="45"/>
      <c r="E24" s="45"/>
    </row>
    <row r="25" spans="1:6" x14ac:dyDescent="0.25">
      <c r="A25" s="2" t="s">
        <v>7</v>
      </c>
      <c r="B25" s="2" t="s">
        <v>3</v>
      </c>
      <c r="C25" s="2" t="s">
        <v>4</v>
      </c>
      <c r="D25" s="2" t="s">
        <v>6</v>
      </c>
      <c r="E25" s="2" t="s">
        <v>5</v>
      </c>
    </row>
    <row r="26" spans="1:6" x14ac:dyDescent="0.25">
      <c r="A26" s="31" t="s">
        <v>37</v>
      </c>
      <c r="B26" s="6">
        <v>3</v>
      </c>
      <c r="C26" s="6" t="s">
        <v>10</v>
      </c>
      <c r="D26" s="4">
        <v>10.16</v>
      </c>
      <c r="E26" s="7">
        <f>B26*D26</f>
        <v>30.48</v>
      </c>
    </row>
    <row r="27" spans="1:6" x14ac:dyDescent="0.25">
      <c r="A27" s="31" t="s">
        <v>98</v>
      </c>
      <c r="B27" s="1">
        <v>3</v>
      </c>
      <c r="C27" s="1" t="s">
        <v>10</v>
      </c>
      <c r="D27" s="4">
        <f>1+6.69</f>
        <v>7.69</v>
      </c>
      <c r="E27" s="7">
        <f t="shared" ref="E27" si="2">B27*D27</f>
        <v>23.07</v>
      </c>
    </row>
    <row r="28" spans="1:6" x14ac:dyDescent="0.25">
      <c r="A28" s="31" t="s">
        <v>70</v>
      </c>
      <c r="B28" s="6">
        <v>1.3</v>
      </c>
      <c r="C28" s="6" t="s">
        <v>10</v>
      </c>
      <c r="D28" s="7">
        <v>2.44</v>
      </c>
      <c r="E28" s="7">
        <f t="shared" ref="E28:E33" si="3">B28*D28</f>
        <v>3.1720000000000002</v>
      </c>
    </row>
    <row r="29" spans="1:6" x14ac:dyDescent="0.25">
      <c r="A29" s="3" t="s">
        <v>43</v>
      </c>
      <c r="B29" s="1">
        <v>1</v>
      </c>
      <c r="C29" s="1" t="s">
        <v>4</v>
      </c>
      <c r="D29" s="4">
        <v>4.1399999999999997</v>
      </c>
      <c r="E29" s="4">
        <f t="shared" si="3"/>
        <v>4.1399999999999997</v>
      </c>
    </row>
    <row r="30" spans="1:6" x14ac:dyDescent="0.25">
      <c r="A30" s="3" t="s">
        <v>84</v>
      </c>
      <c r="B30" s="1">
        <v>1</v>
      </c>
      <c r="C30" s="1" t="s">
        <v>4</v>
      </c>
      <c r="D30" s="4">
        <v>0.27</v>
      </c>
      <c r="E30" s="4">
        <f t="shared" si="3"/>
        <v>0.27</v>
      </c>
    </row>
    <row r="31" spans="1:6" x14ac:dyDescent="0.25">
      <c r="A31" s="5" t="s">
        <v>11</v>
      </c>
      <c r="B31" s="6">
        <v>10</v>
      </c>
      <c r="C31" s="6" t="s">
        <v>10</v>
      </c>
      <c r="D31" s="7">
        <v>0.04</v>
      </c>
      <c r="E31" s="7">
        <f t="shared" si="3"/>
        <v>0.4</v>
      </c>
    </row>
    <row r="32" spans="1:6" x14ac:dyDescent="0.25">
      <c r="A32" s="5" t="s">
        <v>18</v>
      </c>
      <c r="B32" s="6">
        <v>1</v>
      </c>
      <c r="C32" s="6" t="s">
        <v>4</v>
      </c>
      <c r="D32" s="7">
        <v>0.69</v>
      </c>
      <c r="E32" s="7">
        <f t="shared" si="3"/>
        <v>0.69</v>
      </c>
    </row>
    <row r="33" spans="1:6" x14ac:dyDescent="0.25">
      <c r="A33" s="3" t="s">
        <v>85</v>
      </c>
      <c r="B33" s="1">
        <v>1</v>
      </c>
      <c r="C33" s="1" t="s">
        <v>86</v>
      </c>
      <c r="D33" s="4">
        <v>0.36</v>
      </c>
      <c r="E33" s="4">
        <f t="shared" si="3"/>
        <v>0.36</v>
      </c>
    </row>
    <row r="34" spans="1:6" ht="18.75" x14ac:dyDescent="0.25">
      <c r="A34" s="46" t="s">
        <v>12</v>
      </c>
      <c r="B34" s="47"/>
      <c r="C34" s="47"/>
      <c r="D34" s="48"/>
      <c r="E34" s="11">
        <f>SUM(E26:E33)</f>
        <v>62.581999999999994</v>
      </c>
    </row>
    <row r="35" spans="1:6" x14ac:dyDescent="0.25">
      <c r="A35" s="3"/>
      <c r="B35" s="3"/>
      <c r="C35" s="1"/>
      <c r="D35" s="4"/>
      <c r="E35" s="4">
        <f>B35*D35</f>
        <v>0</v>
      </c>
    </row>
    <row r="36" spans="1:6" x14ac:dyDescent="0.25">
      <c r="A36" s="3" t="s">
        <v>40</v>
      </c>
      <c r="B36" s="3">
        <v>1</v>
      </c>
      <c r="C36" s="1" t="s">
        <v>13</v>
      </c>
      <c r="D36" s="4">
        <v>17</v>
      </c>
      <c r="E36" s="4">
        <f t="shared" ref="E36" si="4">B36*D36</f>
        <v>17</v>
      </c>
    </row>
    <row r="37" spans="1:6" x14ac:dyDescent="0.25">
      <c r="A37" s="3"/>
      <c r="B37" s="3"/>
      <c r="C37" s="1"/>
      <c r="D37" s="4"/>
      <c r="E37" s="4"/>
    </row>
    <row r="38" spans="1:6" x14ac:dyDescent="0.25">
      <c r="A38" s="3"/>
      <c r="B38" s="3"/>
      <c r="C38" s="1"/>
      <c r="D38" s="4"/>
      <c r="E38" s="4">
        <f t="shared" ref="E38" si="5">B38*D38</f>
        <v>0</v>
      </c>
    </row>
    <row r="39" spans="1:6" ht="18.75" x14ac:dyDescent="0.25">
      <c r="A39" s="44" t="s">
        <v>15</v>
      </c>
      <c r="B39" s="44"/>
      <c r="C39" s="44"/>
      <c r="D39" s="44"/>
      <c r="E39" s="11">
        <f>SUM(E35:E38)</f>
        <v>17</v>
      </c>
    </row>
    <row r="40" spans="1:6" ht="15.75" x14ac:dyDescent="0.25">
      <c r="A40" s="49" t="s">
        <v>41</v>
      </c>
      <c r="B40" s="50"/>
      <c r="C40" s="50"/>
      <c r="D40" s="51"/>
      <c r="E40" s="13">
        <f>SUM(E39,E34)*61%</f>
        <v>48.545019999999994</v>
      </c>
    </row>
    <row r="41" spans="1:6" ht="18.75" x14ac:dyDescent="0.25">
      <c r="A41" s="44" t="s">
        <v>14</v>
      </c>
      <c r="B41" s="44"/>
      <c r="C41" s="44"/>
      <c r="D41" s="44"/>
      <c r="E41" s="11">
        <f>E34+E39+E40</f>
        <v>128.12701999999999</v>
      </c>
    </row>
    <row r="42" spans="1:6" ht="15.75" x14ac:dyDescent="0.25">
      <c r="A42" s="55" t="s">
        <v>16</v>
      </c>
      <c r="B42" s="55"/>
      <c r="C42" s="55"/>
      <c r="D42" s="55"/>
      <c r="E42" s="12">
        <f>(E43-E41)/E41</f>
        <v>1.0292363000403819</v>
      </c>
    </row>
    <row r="43" spans="1:6" ht="18.75" x14ac:dyDescent="0.25">
      <c r="A43" s="44" t="s">
        <v>17</v>
      </c>
      <c r="B43" s="44"/>
      <c r="C43" s="44"/>
      <c r="D43" s="44"/>
      <c r="E43" s="11">
        <v>260</v>
      </c>
      <c r="F43" s="24"/>
    </row>
    <row r="45" spans="1:6" x14ac:dyDescent="0.25">
      <c r="A45" s="27" t="s">
        <v>89</v>
      </c>
      <c r="B45" s="28"/>
      <c r="C45" s="28"/>
      <c r="D45" s="35"/>
    </row>
    <row r="46" spans="1:6" x14ac:dyDescent="0.25">
      <c r="A46" s="33" t="s">
        <v>88</v>
      </c>
      <c r="B46" s="34"/>
    </row>
  </sheetData>
  <sortState xmlns:xlrd2="http://schemas.microsoft.com/office/spreadsheetml/2017/richdata2" ref="A5:E10">
    <sortCondition ref="A5"/>
  </sortState>
  <mergeCells count="14">
    <mergeCell ref="A19:D19"/>
    <mergeCell ref="A1:E2"/>
    <mergeCell ref="A11:D11"/>
    <mergeCell ref="A16:D16"/>
    <mergeCell ref="A17:D17"/>
    <mergeCell ref="A18:D18"/>
    <mergeCell ref="A42:D42"/>
    <mergeCell ref="A43:D43"/>
    <mergeCell ref="A20:D20"/>
    <mergeCell ref="A23:E24"/>
    <mergeCell ref="A34:D34"/>
    <mergeCell ref="A39:D39"/>
    <mergeCell ref="A40:D40"/>
    <mergeCell ref="A41:D4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19"/>
  <sheetViews>
    <sheetView workbookViewId="0">
      <selection activeCell="G22" sqref="G22"/>
    </sheetView>
  </sheetViews>
  <sheetFormatPr defaultRowHeight="15" x14ac:dyDescent="0.25"/>
  <cols>
    <col min="1" max="1" width="24.85546875" bestFit="1" customWidth="1"/>
    <col min="2" max="2" width="11.42578125" bestFit="1" customWidth="1"/>
    <col min="3" max="3" width="8.5703125" bestFit="1" customWidth="1"/>
    <col min="4" max="4" width="13.85546875" bestFit="1" customWidth="1"/>
    <col min="5" max="5" width="18.140625" bestFit="1" customWidth="1"/>
  </cols>
  <sheetData>
    <row r="1" spans="1:5" x14ac:dyDescent="0.25">
      <c r="A1" s="45" t="s">
        <v>119</v>
      </c>
      <c r="B1" s="45"/>
      <c r="C1" s="45"/>
      <c r="D1" s="45"/>
      <c r="E1" s="45"/>
    </row>
    <row r="2" spans="1:5" x14ac:dyDescent="0.25">
      <c r="A2" s="45"/>
      <c r="B2" s="45"/>
      <c r="C2" s="45"/>
      <c r="D2" s="45"/>
      <c r="E2" s="45"/>
    </row>
    <row r="3" spans="1:5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</row>
    <row r="4" spans="1:5" x14ac:dyDescent="0.25">
      <c r="A4" s="5" t="s">
        <v>120</v>
      </c>
      <c r="B4" s="1">
        <v>0</v>
      </c>
      <c r="C4" s="1" t="s">
        <v>10</v>
      </c>
      <c r="D4" s="4"/>
      <c r="E4" s="4">
        <v>1.39</v>
      </c>
    </row>
    <row r="5" spans="1:5" x14ac:dyDescent="0.25">
      <c r="A5" s="3" t="s">
        <v>11</v>
      </c>
      <c r="B5" s="1">
        <v>1</v>
      </c>
      <c r="C5" s="1" t="s">
        <v>10</v>
      </c>
      <c r="D5" s="4">
        <v>0.04</v>
      </c>
      <c r="E5" s="4">
        <f t="shared" ref="E5" si="0">B5*D5</f>
        <v>0.04</v>
      </c>
    </row>
    <row r="6" spans="1:5" x14ac:dyDescent="0.25">
      <c r="A6" s="3" t="s">
        <v>80</v>
      </c>
      <c r="B6" s="1">
        <v>1</v>
      </c>
      <c r="C6" s="1" t="s">
        <v>4</v>
      </c>
      <c r="D6" s="4">
        <v>1.27</v>
      </c>
      <c r="E6" s="4">
        <f>B6*D6</f>
        <v>1.27</v>
      </c>
    </row>
    <row r="7" spans="1:5" x14ac:dyDescent="0.25">
      <c r="A7" s="3" t="s">
        <v>81</v>
      </c>
      <c r="B7" s="1">
        <v>1</v>
      </c>
      <c r="C7" s="1" t="s">
        <v>4</v>
      </c>
      <c r="D7" s="4">
        <v>0.09</v>
      </c>
      <c r="E7" s="4">
        <f>B7*D7</f>
        <v>0.09</v>
      </c>
    </row>
    <row r="8" spans="1:5" x14ac:dyDescent="0.25">
      <c r="A8" s="3" t="s">
        <v>18</v>
      </c>
      <c r="B8" s="1">
        <v>1</v>
      </c>
      <c r="C8" s="1" t="s">
        <v>4</v>
      </c>
      <c r="D8" s="4">
        <v>0.69</v>
      </c>
      <c r="E8" s="4">
        <f>B8*D8</f>
        <v>0.69</v>
      </c>
    </row>
    <row r="9" spans="1:5" x14ac:dyDescent="0.25">
      <c r="A9" s="3"/>
      <c r="B9" s="1"/>
      <c r="C9" s="1"/>
      <c r="D9" s="4"/>
      <c r="E9" s="4"/>
    </row>
    <row r="10" spans="1:5" ht="18.75" x14ac:dyDescent="0.25">
      <c r="A10" s="46" t="s">
        <v>12</v>
      </c>
      <c r="B10" s="47"/>
      <c r="C10" s="47"/>
      <c r="D10" s="48"/>
      <c r="E10" s="11">
        <f>SUM(E4:E9)</f>
        <v>3.48</v>
      </c>
    </row>
    <row r="11" spans="1:5" ht="18.75" x14ac:dyDescent="0.25">
      <c r="A11" s="10"/>
      <c r="B11" s="10"/>
      <c r="C11" s="10"/>
      <c r="D11" s="11"/>
      <c r="E11" s="11"/>
    </row>
    <row r="12" spans="1:5" x14ac:dyDescent="0.25">
      <c r="A12" s="3"/>
      <c r="B12" s="3"/>
      <c r="C12" s="1"/>
      <c r="D12" s="4"/>
      <c r="E12" s="4"/>
    </row>
    <row r="13" spans="1:5" x14ac:dyDescent="0.25">
      <c r="A13" s="3" t="s">
        <v>40</v>
      </c>
      <c r="B13" s="3">
        <v>1</v>
      </c>
      <c r="C13" s="1" t="s">
        <v>13</v>
      </c>
      <c r="D13" s="4">
        <v>2</v>
      </c>
      <c r="E13" s="4">
        <f t="shared" ref="E13" si="1">B13*D13</f>
        <v>2</v>
      </c>
    </row>
    <row r="14" spans="1:5" x14ac:dyDescent="0.25">
      <c r="A14" s="3"/>
      <c r="B14" s="3"/>
      <c r="C14" s="1"/>
      <c r="D14" s="4"/>
      <c r="E14" s="4"/>
    </row>
    <row r="15" spans="1:5" ht="18.75" x14ac:dyDescent="0.25">
      <c r="A15" s="46" t="s">
        <v>15</v>
      </c>
      <c r="B15" s="47"/>
      <c r="C15" s="47"/>
      <c r="D15" s="48"/>
      <c r="E15" s="11">
        <f>SUM(E12:E14)</f>
        <v>2</v>
      </c>
    </row>
    <row r="16" spans="1:5" ht="15.75" x14ac:dyDescent="0.25">
      <c r="A16" s="49" t="s">
        <v>41</v>
      </c>
      <c r="B16" s="50"/>
      <c r="C16" s="50"/>
      <c r="D16" s="51"/>
      <c r="E16" s="13">
        <f>SUM(E15,E10)*61%</f>
        <v>3.3428</v>
      </c>
    </row>
    <row r="17" spans="1:6" ht="18.75" x14ac:dyDescent="0.25">
      <c r="A17" s="46" t="s">
        <v>14</v>
      </c>
      <c r="B17" s="47"/>
      <c r="C17" s="47"/>
      <c r="D17" s="48"/>
      <c r="E17" s="11">
        <f>SUM(E16,E15,E10)</f>
        <v>8.8228000000000009</v>
      </c>
    </row>
    <row r="18" spans="1:6" ht="15.75" x14ac:dyDescent="0.25">
      <c r="A18" s="52" t="s">
        <v>16</v>
      </c>
      <c r="B18" s="53"/>
      <c r="C18" s="53"/>
      <c r="D18" s="54"/>
      <c r="E18" s="25">
        <f>(E19-E17)/E17</f>
        <v>3.5337081198712421</v>
      </c>
    </row>
    <row r="19" spans="1:6" ht="18.75" x14ac:dyDescent="0.25">
      <c r="A19" s="44" t="s">
        <v>17</v>
      </c>
      <c r="B19" s="44"/>
      <c r="C19" s="44"/>
      <c r="D19" s="44"/>
      <c r="E19" s="11">
        <v>40</v>
      </c>
      <c r="F19" s="24"/>
    </row>
  </sheetData>
  <mergeCells count="7">
    <mergeCell ref="A19:D19"/>
    <mergeCell ref="A1:E2"/>
    <mergeCell ref="A10:D10"/>
    <mergeCell ref="A15:D15"/>
    <mergeCell ref="A16:D16"/>
    <mergeCell ref="A17:D17"/>
    <mergeCell ref="A18:D18"/>
  </mergeCells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K63"/>
  <sheetViews>
    <sheetView topLeftCell="A43" workbookViewId="0">
      <selection activeCell="F63" sqref="F63"/>
    </sheetView>
  </sheetViews>
  <sheetFormatPr defaultRowHeight="15" x14ac:dyDescent="0.25"/>
  <cols>
    <col min="1" max="1" width="28.28515625" bestFit="1" customWidth="1"/>
    <col min="2" max="2" width="11.42578125" bestFit="1" customWidth="1"/>
    <col min="3" max="3" width="8.5703125" bestFit="1" customWidth="1"/>
    <col min="4" max="4" width="13.85546875" bestFit="1" customWidth="1"/>
    <col min="5" max="5" width="14.5703125" bestFit="1" customWidth="1"/>
    <col min="7" max="7" width="25.140625" customWidth="1"/>
    <col min="8" max="8" width="11.42578125" bestFit="1" customWidth="1"/>
    <col min="9" max="9" width="9.140625" customWidth="1"/>
    <col min="10" max="10" width="13.85546875" bestFit="1" customWidth="1"/>
    <col min="11" max="11" width="14.5703125" bestFit="1" customWidth="1"/>
  </cols>
  <sheetData>
    <row r="1" spans="1:11" ht="15" customHeight="1" x14ac:dyDescent="0.25">
      <c r="A1" s="45" t="s">
        <v>56</v>
      </c>
      <c r="B1" s="45"/>
      <c r="C1" s="45"/>
      <c r="D1" s="45"/>
      <c r="E1" s="45"/>
      <c r="G1" s="45" t="s">
        <v>56</v>
      </c>
      <c r="H1" s="45"/>
      <c r="I1" s="45"/>
      <c r="J1" s="45"/>
      <c r="K1" s="45"/>
    </row>
    <row r="2" spans="1:11" ht="15" customHeight="1" x14ac:dyDescent="0.25">
      <c r="A2" s="45"/>
      <c r="B2" s="45"/>
      <c r="C2" s="45"/>
      <c r="D2" s="45"/>
      <c r="E2" s="45"/>
      <c r="G2" s="45"/>
      <c r="H2" s="45"/>
      <c r="I2" s="45"/>
      <c r="J2" s="45"/>
      <c r="K2" s="45"/>
    </row>
    <row r="3" spans="1:11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  <c r="G3" s="2" t="s">
        <v>7</v>
      </c>
      <c r="H3" s="2" t="s">
        <v>3</v>
      </c>
      <c r="I3" s="2" t="s">
        <v>4</v>
      </c>
      <c r="J3" s="2" t="s">
        <v>6</v>
      </c>
      <c r="K3" s="2" t="s">
        <v>5</v>
      </c>
    </row>
    <row r="4" spans="1:11" x14ac:dyDescent="0.25">
      <c r="A4" s="31" t="s">
        <v>32</v>
      </c>
      <c r="B4" s="6">
        <v>2</v>
      </c>
      <c r="C4" s="6" t="s">
        <v>10</v>
      </c>
      <c r="D4" s="7">
        <v>18.39</v>
      </c>
      <c r="E4" s="7">
        <f>B4*D4</f>
        <v>36.78</v>
      </c>
      <c r="G4" s="32" t="s">
        <v>33</v>
      </c>
      <c r="H4" s="6">
        <v>2</v>
      </c>
      <c r="I4" s="6" t="s">
        <v>10</v>
      </c>
      <c r="J4" s="7">
        <v>13.7</v>
      </c>
      <c r="K4" s="7">
        <f>H4*J4</f>
        <v>27.4</v>
      </c>
    </row>
    <row r="5" spans="1:11" x14ac:dyDescent="0.25">
      <c r="A5" s="31" t="s">
        <v>23</v>
      </c>
      <c r="B5" s="6">
        <v>1</v>
      </c>
      <c r="C5" s="6" t="s">
        <v>4</v>
      </c>
      <c r="D5" s="7">
        <v>2.39</v>
      </c>
      <c r="E5" s="7">
        <f t="shared" ref="E5" si="0">B5*D5</f>
        <v>2.39</v>
      </c>
      <c r="G5" s="32" t="s">
        <v>23</v>
      </c>
      <c r="H5" s="6">
        <v>1</v>
      </c>
      <c r="I5" s="6" t="s">
        <v>4</v>
      </c>
      <c r="J5" s="7">
        <v>2.39</v>
      </c>
      <c r="K5" s="7">
        <f t="shared" ref="K5" si="1">H5*J5</f>
        <v>2.39</v>
      </c>
    </row>
    <row r="6" spans="1:11" x14ac:dyDescent="0.25">
      <c r="A6" s="3" t="s">
        <v>43</v>
      </c>
      <c r="B6" s="1">
        <v>1</v>
      </c>
      <c r="C6" s="1" t="s">
        <v>4</v>
      </c>
      <c r="D6" s="4">
        <v>4.75</v>
      </c>
      <c r="E6" s="7">
        <f>B6*D6</f>
        <v>4.75</v>
      </c>
      <c r="G6" s="3" t="s">
        <v>43</v>
      </c>
      <c r="H6" s="1">
        <v>1</v>
      </c>
      <c r="I6" s="1" t="s">
        <v>4</v>
      </c>
      <c r="J6" s="4">
        <v>4.75</v>
      </c>
      <c r="K6" s="7">
        <f>H6*J6</f>
        <v>4.75</v>
      </c>
    </row>
    <row r="7" spans="1:11" x14ac:dyDescent="0.25">
      <c r="A7" s="3" t="s">
        <v>84</v>
      </c>
      <c r="B7" s="1">
        <v>1</v>
      </c>
      <c r="C7" s="1" t="s">
        <v>4</v>
      </c>
      <c r="D7" s="4">
        <v>0.27</v>
      </c>
      <c r="E7" s="4">
        <f>B7*D7</f>
        <v>0.27</v>
      </c>
      <c r="G7" s="3" t="s">
        <v>84</v>
      </c>
      <c r="H7" s="1">
        <v>1</v>
      </c>
      <c r="I7" s="1" t="s">
        <v>4</v>
      </c>
      <c r="J7" s="4">
        <v>0.27</v>
      </c>
      <c r="K7" s="4">
        <f>H7*J7</f>
        <v>0.27</v>
      </c>
    </row>
    <row r="8" spans="1:11" x14ac:dyDescent="0.25">
      <c r="A8" s="5" t="s">
        <v>11</v>
      </c>
      <c r="B8" s="6">
        <v>10</v>
      </c>
      <c r="C8" s="6" t="s">
        <v>10</v>
      </c>
      <c r="D8" s="7">
        <v>0.04</v>
      </c>
      <c r="E8" s="7">
        <f>B8*D8</f>
        <v>0.4</v>
      </c>
      <c r="G8" s="5" t="s">
        <v>11</v>
      </c>
      <c r="H8" s="6">
        <v>10</v>
      </c>
      <c r="I8" s="6" t="s">
        <v>10</v>
      </c>
      <c r="J8" s="7">
        <v>0.04</v>
      </c>
      <c r="K8" s="7">
        <f>H8*J8</f>
        <v>0.4</v>
      </c>
    </row>
    <row r="9" spans="1:11" x14ac:dyDescent="0.25">
      <c r="A9" s="5" t="s">
        <v>18</v>
      </c>
      <c r="B9" s="6">
        <v>1</v>
      </c>
      <c r="C9" s="6" t="s">
        <v>4</v>
      </c>
      <c r="D9" s="7">
        <v>0.69</v>
      </c>
      <c r="E9" s="7">
        <f>B9*D9</f>
        <v>0.69</v>
      </c>
      <c r="G9" s="5" t="s">
        <v>18</v>
      </c>
      <c r="H9" s="6">
        <v>1</v>
      </c>
      <c r="I9" s="6" t="s">
        <v>4</v>
      </c>
      <c r="J9" s="7">
        <v>0.69</v>
      </c>
      <c r="K9" s="7">
        <f>H9*J9</f>
        <v>0.69</v>
      </c>
    </row>
    <row r="10" spans="1:11" x14ac:dyDescent="0.25">
      <c r="A10" s="3" t="s">
        <v>85</v>
      </c>
      <c r="B10" s="1">
        <v>1</v>
      </c>
      <c r="C10" s="1" t="s">
        <v>86</v>
      </c>
      <c r="D10" s="4">
        <v>0.36</v>
      </c>
      <c r="E10" s="4">
        <f>B10*D10</f>
        <v>0.36</v>
      </c>
      <c r="G10" s="3" t="s">
        <v>85</v>
      </c>
      <c r="H10" s="1">
        <v>1</v>
      </c>
      <c r="I10" s="1" t="s">
        <v>86</v>
      </c>
      <c r="J10" s="4">
        <v>0.36</v>
      </c>
      <c r="K10" s="4">
        <f>H10*J10</f>
        <v>0.36</v>
      </c>
    </row>
    <row r="11" spans="1:11" ht="30" customHeight="1" x14ac:dyDescent="0.25">
      <c r="A11" s="46" t="s">
        <v>12</v>
      </c>
      <c r="B11" s="47"/>
      <c r="C11" s="47"/>
      <c r="D11" s="48"/>
      <c r="E11" s="11">
        <f>SUM(E4:E10)</f>
        <v>45.64</v>
      </c>
      <c r="G11" s="46" t="s">
        <v>12</v>
      </c>
      <c r="H11" s="47"/>
      <c r="I11" s="47"/>
      <c r="J11" s="48"/>
      <c r="K11" s="11">
        <f>SUM(K4:K10)</f>
        <v>36.26</v>
      </c>
    </row>
    <row r="12" spans="1:11" ht="15" customHeight="1" x14ac:dyDescent="0.25">
      <c r="A12" s="19"/>
      <c r="B12" s="20"/>
      <c r="C12" s="20"/>
      <c r="D12" s="21"/>
      <c r="E12" s="11"/>
      <c r="G12" s="19"/>
      <c r="H12" s="20"/>
      <c r="I12" s="20"/>
      <c r="J12" s="21"/>
      <c r="K12" s="11"/>
    </row>
    <row r="13" spans="1:11" ht="15" customHeight="1" x14ac:dyDescent="0.25">
      <c r="A13" s="3"/>
      <c r="B13" s="3"/>
      <c r="C13" s="1"/>
      <c r="D13" s="4"/>
      <c r="E13" s="4"/>
      <c r="G13" s="3"/>
      <c r="H13" s="3"/>
      <c r="I13" s="1"/>
      <c r="J13" s="4"/>
      <c r="K13" s="4"/>
    </row>
    <row r="14" spans="1:11" x14ac:dyDescent="0.25">
      <c r="A14" s="3" t="s">
        <v>40</v>
      </c>
      <c r="B14" s="3">
        <v>1</v>
      </c>
      <c r="C14" s="1" t="s">
        <v>13</v>
      </c>
      <c r="D14" s="4">
        <v>17</v>
      </c>
      <c r="E14" s="4">
        <f t="shared" ref="E14" si="2">B14*D14</f>
        <v>17</v>
      </c>
      <c r="G14" s="3" t="s">
        <v>40</v>
      </c>
      <c r="H14" s="3">
        <v>1</v>
      </c>
      <c r="I14" s="1" t="s">
        <v>13</v>
      </c>
      <c r="J14" s="4">
        <v>17</v>
      </c>
      <c r="K14" s="4">
        <f t="shared" ref="K14" si="3">H14*J14</f>
        <v>17</v>
      </c>
    </row>
    <row r="15" spans="1:11" x14ac:dyDescent="0.25">
      <c r="A15" s="3"/>
      <c r="B15" s="3"/>
      <c r="C15" s="1"/>
      <c r="D15" s="4"/>
      <c r="E15" s="4"/>
      <c r="G15" s="3"/>
      <c r="H15" s="3"/>
      <c r="I15" s="1"/>
      <c r="J15" s="4"/>
      <c r="K15" s="4"/>
    </row>
    <row r="16" spans="1:11" ht="30" customHeight="1" x14ac:dyDescent="0.25">
      <c r="A16" s="46" t="s">
        <v>15</v>
      </c>
      <c r="B16" s="47"/>
      <c r="C16" s="47"/>
      <c r="D16" s="48"/>
      <c r="E16" s="11">
        <f>SUM(E13:E15)</f>
        <v>17</v>
      </c>
      <c r="G16" s="46" t="s">
        <v>15</v>
      </c>
      <c r="H16" s="47"/>
      <c r="I16" s="47"/>
      <c r="J16" s="48"/>
      <c r="K16" s="11">
        <f>SUM(K13:K15)</f>
        <v>17</v>
      </c>
    </row>
    <row r="17" spans="1:11" ht="15" customHeight="1" x14ac:dyDescent="0.25">
      <c r="A17" s="49" t="s">
        <v>41</v>
      </c>
      <c r="B17" s="50"/>
      <c r="C17" s="50"/>
      <c r="D17" s="51"/>
      <c r="E17" s="13">
        <f>SUM(E16,E11)*61%</f>
        <v>38.2104</v>
      </c>
      <c r="G17" s="49" t="s">
        <v>41</v>
      </c>
      <c r="H17" s="50"/>
      <c r="I17" s="50"/>
      <c r="J17" s="51"/>
      <c r="K17" s="13">
        <f>SUM(K16,K11)*61%</f>
        <v>32.488599999999998</v>
      </c>
    </row>
    <row r="18" spans="1:11" ht="30" customHeight="1" x14ac:dyDescent="0.25">
      <c r="A18" s="46" t="s">
        <v>14</v>
      </c>
      <c r="B18" s="47"/>
      <c r="C18" s="47"/>
      <c r="D18" s="48"/>
      <c r="E18" s="11">
        <f>E11+E16+E17</f>
        <v>100.85040000000001</v>
      </c>
      <c r="G18" s="46" t="s">
        <v>14</v>
      </c>
      <c r="H18" s="47"/>
      <c r="I18" s="47"/>
      <c r="J18" s="48"/>
      <c r="K18" s="11">
        <f>K11+K16+K17</f>
        <v>85.748599999999996</v>
      </c>
    </row>
    <row r="19" spans="1:11" ht="15" customHeight="1" x14ac:dyDescent="0.25">
      <c r="A19" s="52" t="s">
        <v>16</v>
      </c>
      <c r="B19" s="53"/>
      <c r="C19" s="53"/>
      <c r="D19" s="54"/>
      <c r="E19" s="12">
        <f>(E20-E18)/E18</f>
        <v>1.578076041344407</v>
      </c>
      <c r="G19" s="52" t="s">
        <v>16</v>
      </c>
      <c r="H19" s="53"/>
      <c r="I19" s="53"/>
      <c r="J19" s="54"/>
      <c r="K19" s="12">
        <f>(K20-K18)/K18</f>
        <v>1.798879515234068</v>
      </c>
    </row>
    <row r="20" spans="1:11" ht="30" customHeight="1" x14ac:dyDescent="0.25">
      <c r="A20" s="46" t="s">
        <v>17</v>
      </c>
      <c r="B20" s="47"/>
      <c r="C20" s="47"/>
      <c r="D20" s="48"/>
      <c r="E20" s="11">
        <v>260</v>
      </c>
      <c r="G20" s="46" t="s">
        <v>17</v>
      </c>
      <c r="H20" s="47"/>
      <c r="I20" s="47"/>
      <c r="J20" s="48"/>
      <c r="K20" s="11">
        <v>240</v>
      </c>
    </row>
    <row r="21" spans="1:11" ht="9" customHeight="1" x14ac:dyDescent="0.25">
      <c r="A21" s="8"/>
      <c r="B21" s="8"/>
      <c r="C21" s="8"/>
      <c r="D21" s="9"/>
      <c r="E21" s="9"/>
      <c r="G21" s="8"/>
      <c r="H21" s="8"/>
      <c r="I21" s="8"/>
      <c r="J21" s="9"/>
      <c r="K21" s="9"/>
    </row>
    <row r="22" spans="1:11" ht="6.75" customHeight="1" x14ac:dyDescent="0.25"/>
    <row r="23" spans="1:11" ht="15" customHeight="1" x14ac:dyDescent="0.25">
      <c r="A23" s="45" t="s">
        <v>56</v>
      </c>
      <c r="B23" s="45"/>
      <c r="C23" s="45"/>
      <c r="D23" s="45"/>
      <c r="E23" s="45"/>
      <c r="G23" s="45" t="s">
        <v>56</v>
      </c>
      <c r="H23" s="45"/>
      <c r="I23" s="45"/>
      <c r="J23" s="45"/>
      <c r="K23" s="45"/>
    </row>
    <row r="24" spans="1:11" ht="15" customHeight="1" x14ac:dyDescent="0.25">
      <c r="A24" s="45"/>
      <c r="B24" s="45"/>
      <c r="C24" s="45"/>
      <c r="D24" s="45"/>
      <c r="E24" s="45"/>
      <c r="G24" s="45"/>
      <c r="H24" s="45"/>
      <c r="I24" s="45"/>
      <c r="J24" s="45"/>
      <c r="K24" s="45"/>
    </row>
    <row r="25" spans="1:11" x14ac:dyDescent="0.25">
      <c r="A25" s="2" t="s">
        <v>7</v>
      </c>
      <c r="B25" s="2" t="s">
        <v>3</v>
      </c>
      <c r="C25" s="2" t="s">
        <v>4</v>
      </c>
      <c r="D25" s="2" t="s">
        <v>6</v>
      </c>
      <c r="E25" s="2" t="s">
        <v>5</v>
      </c>
      <c r="G25" s="2" t="s">
        <v>7</v>
      </c>
      <c r="H25" s="2" t="s">
        <v>3</v>
      </c>
      <c r="I25" s="2" t="s">
        <v>4</v>
      </c>
      <c r="J25" s="2" t="s">
        <v>6</v>
      </c>
      <c r="K25" s="2" t="s">
        <v>5</v>
      </c>
    </row>
    <row r="26" spans="1:11" x14ac:dyDescent="0.25">
      <c r="A26" s="31" t="s">
        <v>32</v>
      </c>
      <c r="B26" s="6">
        <v>2</v>
      </c>
      <c r="C26" s="6" t="s">
        <v>10</v>
      </c>
      <c r="D26" s="7">
        <v>18.39</v>
      </c>
      <c r="E26" s="7">
        <f>B26*D26</f>
        <v>36.78</v>
      </c>
      <c r="G26" s="32" t="s">
        <v>33</v>
      </c>
      <c r="H26" s="6">
        <v>2</v>
      </c>
      <c r="I26" s="6" t="s">
        <v>10</v>
      </c>
      <c r="J26" s="7">
        <v>13.7</v>
      </c>
      <c r="K26" s="7">
        <f>H26*J26</f>
        <v>27.4</v>
      </c>
    </row>
    <row r="27" spans="1:11" x14ac:dyDescent="0.25">
      <c r="A27" s="31" t="s">
        <v>34</v>
      </c>
      <c r="B27" s="6">
        <v>6</v>
      </c>
      <c r="C27" s="6" t="s">
        <v>4</v>
      </c>
      <c r="D27" s="7">
        <v>0.2</v>
      </c>
      <c r="E27" s="7">
        <f t="shared" ref="E27:E28" si="4">B27*D27</f>
        <v>1.2000000000000002</v>
      </c>
      <c r="G27" s="32" t="s">
        <v>34</v>
      </c>
      <c r="H27" s="6">
        <v>6</v>
      </c>
      <c r="I27" s="6" t="s">
        <v>4</v>
      </c>
      <c r="J27" s="7">
        <v>0.2</v>
      </c>
      <c r="K27" s="7">
        <f t="shared" ref="K27:K28" si="5">H27*J27</f>
        <v>1.2000000000000002</v>
      </c>
    </row>
    <row r="28" spans="1:11" x14ac:dyDescent="0.25">
      <c r="A28" s="5" t="s">
        <v>11</v>
      </c>
      <c r="B28" s="6">
        <v>10</v>
      </c>
      <c r="C28" s="6" t="s">
        <v>10</v>
      </c>
      <c r="D28" s="7">
        <v>0.04</v>
      </c>
      <c r="E28" s="7">
        <f t="shared" si="4"/>
        <v>0.4</v>
      </c>
      <c r="G28" s="5" t="s">
        <v>11</v>
      </c>
      <c r="H28" s="6">
        <v>10</v>
      </c>
      <c r="I28" s="6" t="s">
        <v>10</v>
      </c>
      <c r="J28" s="7">
        <v>0.04</v>
      </c>
      <c r="K28" s="7">
        <f t="shared" si="5"/>
        <v>0.4</v>
      </c>
    </row>
    <row r="29" spans="1:11" x14ac:dyDescent="0.25">
      <c r="A29" s="3" t="s">
        <v>43</v>
      </c>
      <c r="B29" s="1">
        <v>1</v>
      </c>
      <c r="C29" s="1" t="s">
        <v>4</v>
      </c>
      <c r="D29" s="4">
        <v>4.75</v>
      </c>
      <c r="E29" s="4">
        <f>B29*D29</f>
        <v>4.75</v>
      </c>
      <c r="G29" s="3" t="s">
        <v>43</v>
      </c>
      <c r="H29" s="1">
        <v>1</v>
      </c>
      <c r="I29" s="1" t="s">
        <v>4</v>
      </c>
      <c r="J29" s="4">
        <v>4.75</v>
      </c>
      <c r="K29" s="4">
        <f>H29*J29</f>
        <v>4.75</v>
      </c>
    </row>
    <row r="30" spans="1:11" x14ac:dyDescent="0.25">
      <c r="A30" s="3" t="s">
        <v>84</v>
      </c>
      <c r="B30" s="1">
        <v>1</v>
      </c>
      <c r="C30" s="1" t="s">
        <v>4</v>
      </c>
      <c r="D30" s="4">
        <v>0.27</v>
      </c>
      <c r="E30" s="4">
        <f>B30*D30</f>
        <v>0.27</v>
      </c>
      <c r="G30" s="3" t="s">
        <v>84</v>
      </c>
      <c r="H30" s="1">
        <v>1</v>
      </c>
      <c r="I30" s="1" t="s">
        <v>4</v>
      </c>
      <c r="J30" s="4">
        <v>0.27</v>
      </c>
      <c r="K30" s="4">
        <f>H30*J30</f>
        <v>0.27</v>
      </c>
    </row>
    <row r="31" spans="1:11" x14ac:dyDescent="0.25">
      <c r="A31" s="5" t="s">
        <v>18</v>
      </c>
      <c r="B31" s="6">
        <v>1</v>
      </c>
      <c r="C31" s="6" t="s">
        <v>4</v>
      </c>
      <c r="D31" s="7">
        <v>0.69</v>
      </c>
      <c r="E31" s="7">
        <f>B31*D31</f>
        <v>0.69</v>
      </c>
      <c r="G31" s="5" t="s">
        <v>18</v>
      </c>
      <c r="H31" s="6">
        <v>1</v>
      </c>
      <c r="I31" s="6" t="s">
        <v>4</v>
      </c>
      <c r="J31" s="7">
        <v>0.69</v>
      </c>
      <c r="K31" s="7">
        <f>H31*J31</f>
        <v>0.69</v>
      </c>
    </row>
    <row r="32" spans="1:11" x14ac:dyDescent="0.25">
      <c r="A32" s="3" t="s">
        <v>85</v>
      </c>
      <c r="B32" s="1">
        <v>1</v>
      </c>
      <c r="C32" s="1" t="s">
        <v>86</v>
      </c>
      <c r="D32" s="4">
        <v>0.36</v>
      </c>
      <c r="E32" s="4">
        <f>B32*D32</f>
        <v>0.36</v>
      </c>
      <c r="G32" s="3" t="s">
        <v>85</v>
      </c>
      <c r="H32" s="1">
        <v>1</v>
      </c>
      <c r="I32" s="1" t="s">
        <v>86</v>
      </c>
      <c r="J32" s="4">
        <v>0.36</v>
      </c>
      <c r="K32" s="4">
        <f>H32*J32</f>
        <v>0.36</v>
      </c>
    </row>
    <row r="33" spans="1:11" ht="30" customHeight="1" x14ac:dyDescent="0.25">
      <c r="A33" s="46" t="s">
        <v>12</v>
      </c>
      <c r="B33" s="47"/>
      <c r="C33" s="47"/>
      <c r="D33" s="48"/>
      <c r="E33" s="11">
        <f>SUM(E26:E32)</f>
        <v>44.45</v>
      </c>
      <c r="G33" s="46" t="s">
        <v>12</v>
      </c>
      <c r="H33" s="47"/>
      <c r="I33" s="47"/>
      <c r="J33" s="48"/>
      <c r="K33" s="11">
        <f>SUM(K26:K32)</f>
        <v>35.07</v>
      </c>
    </row>
    <row r="34" spans="1:11" x14ac:dyDescent="0.25">
      <c r="A34" s="3"/>
      <c r="B34" s="3"/>
      <c r="C34" s="1"/>
      <c r="D34" s="4"/>
      <c r="E34" s="4">
        <f>B34*D34</f>
        <v>0</v>
      </c>
      <c r="G34" s="3"/>
      <c r="H34" s="3"/>
      <c r="I34" s="1"/>
      <c r="J34" s="4"/>
      <c r="K34" s="4">
        <f>H34*J34</f>
        <v>0</v>
      </c>
    </row>
    <row r="35" spans="1:11" x14ac:dyDescent="0.25">
      <c r="A35" s="3" t="s">
        <v>40</v>
      </c>
      <c r="B35" s="3">
        <v>1</v>
      </c>
      <c r="C35" s="1" t="s">
        <v>13</v>
      </c>
      <c r="D35" s="4">
        <v>17</v>
      </c>
      <c r="E35" s="4">
        <f t="shared" ref="E35:E36" si="6">B35*D35</f>
        <v>17</v>
      </c>
      <c r="G35" s="3" t="s">
        <v>40</v>
      </c>
      <c r="H35" s="3">
        <v>1</v>
      </c>
      <c r="I35" s="1" t="s">
        <v>13</v>
      </c>
      <c r="J35" s="4">
        <v>17</v>
      </c>
      <c r="K35" s="4">
        <f t="shared" ref="K35:K36" si="7">H35*J35</f>
        <v>17</v>
      </c>
    </row>
    <row r="36" spans="1:11" x14ac:dyDescent="0.25">
      <c r="A36" s="3"/>
      <c r="B36" s="3"/>
      <c r="C36" s="1"/>
      <c r="D36" s="4"/>
      <c r="E36" s="4">
        <f t="shared" si="6"/>
        <v>0</v>
      </c>
      <c r="G36" s="3"/>
      <c r="H36" s="3"/>
      <c r="I36" s="1"/>
      <c r="J36" s="4"/>
      <c r="K36" s="4">
        <f t="shared" si="7"/>
        <v>0</v>
      </c>
    </row>
    <row r="37" spans="1:11" ht="30" customHeight="1" x14ac:dyDescent="0.25">
      <c r="A37" s="44" t="s">
        <v>15</v>
      </c>
      <c r="B37" s="44"/>
      <c r="C37" s="44"/>
      <c r="D37" s="44"/>
      <c r="E37" s="11">
        <f>SUM(E34:E36)</f>
        <v>17</v>
      </c>
      <c r="G37" s="44" t="s">
        <v>15</v>
      </c>
      <c r="H37" s="44"/>
      <c r="I37" s="44"/>
      <c r="J37" s="44"/>
      <c r="K37" s="11">
        <f>SUM(K34:K36)</f>
        <v>17</v>
      </c>
    </row>
    <row r="38" spans="1:11" ht="15.75" x14ac:dyDescent="0.25">
      <c r="A38" s="49" t="s">
        <v>41</v>
      </c>
      <c r="B38" s="50"/>
      <c r="C38" s="50"/>
      <c r="D38" s="51"/>
      <c r="E38" s="13">
        <f>SUM(E37,E33)*61%</f>
        <v>37.484500000000004</v>
      </c>
      <c r="G38" s="49" t="s">
        <v>41</v>
      </c>
      <c r="H38" s="50"/>
      <c r="I38" s="50"/>
      <c r="J38" s="51"/>
      <c r="K38" s="13">
        <f>SUM(K37,K33)*61%</f>
        <v>31.762699999999999</v>
      </c>
    </row>
    <row r="39" spans="1:11" ht="30" customHeight="1" x14ac:dyDescent="0.25">
      <c r="A39" s="44" t="s">
        <v>14</v>
      </c>
      <c r="B39" s="44"/>
      <c r="C39" s="44"/>
      <c r="D39" s="44"/>
      <c r="E39" s="11">
        <f>E33+E37+E38</f>
        <v>98.934500000000014</v>
      </c>
      <c r="G39" s="46" t="s">
        <v>14</v>
      </c>
      <c r="H39" s="47"/>
      <c r="I39" s="47"/>
      <c r="J39" s="48"/>
      <c r="K39" s="11">
        <f>K33+K37+K38</f>
        <v>83.832700000000003</v>
      </c>
    </row>
    <row r="40" spans="1:11" ht="18.75" customHeight="1" x14ac:dyDescent="0.25">
      <c r="A40" s="55" t="s">
        <v>16</v>
      </c>
      <c r="B40" s="55"/>
      <c r="C40" s="55"/>
      <c r="D40" s="55"/>
      <c r="E40" s="12">
        <f>(E41-E39)/E39</f>
        <v>1.6280013544314669</v>
      </c>
      <c r="G40" s="52" t="s">
        <v>16</v>
      </c>
      <c r="H40" s="53"/>
      <c r="I40" s="53"/>
      <c r="J40" s="54"/>
      <c r="K40" s="12">
        <f>(K41-K39)/K39</f>
        <v>1.8628446894827437</v>
      </c>
    </row>
    <row r="41" spans="1:11" ht="30" customHeight="1" x14ac:dyDescent="0.25">
      <c r="A41" s="44" t="s">
        <v>17</v>
      </c>
      <c r="B41" s="44"/>
      <c r="C41" s="44"/>
      <c r="D41" s="44"/>
      <c r="E41" s="11">
        <v>260</v>
      </c>
      <c r="G41" s="46" t="s">
        <v>17</v>
      </c>
      <c r="H41" s="47"/>
      <c r="I41" s="47"/>
      <c r="J41" s="48"/>
      <c r="K41" s="11">
        <v>240</v>
      </c>
    </row>
    <row r="42" spans="1:11" x14ac:dyDescent="0.25">
      <c r="A42" s="3" t="s">
        <v>88</v>
      </c>
      <c r="B42" s="31"/>
      <c r="C42" s="36"/>
    </row>
    <row r="44" spans="1:11" x14ac:dyDescent="0.25">
      <c r="A44" s="45" t="s">
        <v>113</v>
      </c>
      <c r="B44" s="45"/>
      <c r="C44" s="45"/>
      <c r="D44" s="45"/>
      <c r="E44" s="45"/>
    </row>
    <row r="45" spans="1:11" x14ac:dyDescent="0.25">
      <c r="A45" s="45"/>
      <c r="B45" s="45"/>
      <c r="C45" s="45"/>
      <c r="D45" s="45"/>
      <c r="E45" s="45"/>
    </row>
    <row r="46" spans="1:11" x14ac:dyDescent="0.25">
      <c r="A46" s="2" t="s">
        <v>7</v>
      </c>
      <c r="B46" s="2" t="s">
        <v>3</v>
      </c>
      <c r="C46" s="2" t="s">
        <v>4</v>
      </c>
      <c r="D46" s="2" t="s">
        <v>6</v>
      </c>
      <c r="E46" s="2" t="s">
        <v>5</v>
      </c>
    </row>
    <row r="47" spans="1:11" x14ac:dyDescent="0.25">
      <c r="A47" s="31" t="s">
        <v>112</v>
      </c>
      <c r="B47" s="6">
        <v>1.5</v>
      </c>
      <c r="C47" s="6" t="s">
        <v>10</v>
      </c>
      <c r="D47" s="4">
        <v>10.16</v>
      </c>
      <c r="E47" s="7">
        <f>B47*D47</f>
        <v>15.24</v>
      </c>
    </row>
    <row r="48" spans="1:11" x14ac:dyDescent="0.25">
      <c r="A48" s="31" t="s">
        <v>132</v>
      </c>
      <c r="B48" s="6">
        <v>8</v>
      </c>
      <c r="C48" s="6" t="s">
        <v>4</v>
      </c>
      <c r="D48" s="7">
        <v>0.16</v>
      </c>
      <c r="E48" s="7">
        <f t="shared" ref="E48" si="8">B48*D48</f>
        <v>1.28</v>
      </c>
    </row>
    <row r="49" spans="1:5" x14ac:dyDescent="0.25">
      <c r="A49" s="3" t="s">
        <v>43</v>
      </c>
      <c r="B49" s="1">
        <v>1</v>
      </c>
      <c r="C49" s="1" t="s">
        <v>4</v>
      </c>
      <c r="D49" s="4">
        <v>4.17</v>
      </c>
      <c r="E49" s="7">
        <f>B49*D49</f>
        <v>4.17</v>
      </c>
    </row>
    <row r="50" spans="1:5" x14ac:dyDescent="0.25">
      <c r="A50" s="3" t="s">
        <v>84</v>
      </c>
      <c r="B50" s="1">
        <v>1</v>
      </c>
      <c r="C50" s="1" t="s">
        <v>4</v>
      </c>
      <c r="D50" s="4">
        <v>0.27</v>
      </c>
      <c r="E50" s="4">
        <f>B50*D50</f>
        <v>0.27</v>
      </c>
    </row>
    <row r="51" spans="1:5" x14ac:dyDescent="0.25">
      <c r="A51" s="5" t="s">
        <v>11</v>
      </c>
      <c r="B51" s="6">
        <v>10</v>
      </c>
      <c r="C51" s="6" t="s">
        <v>10</v>
      </c>
      <c r="D51" s="7">
        <v>0.04</v>
      </c>
      <c r="E51" s="7">
        <f>B51*D51</f>
        <v>0.4</v>
      </c>
    </row>
    <row r="52" spans="1:5" x14ac:dyDescent="0.25">
      <c r="A52" s="5" t="s">
        <v>18</v>
      </c>
      <c r="B52" s="6">
        <v>1</v>
      </c>
      <c r="C52" s="6" t="s">
        <v>4</v>
      </c>
      <c r="D52" s="7">
        <v>0.69</v>
      </c>
      <c r="E52" s="7">
        <f>B52*D52</f>
        <v>0.69</v>
      </c>
    </row>
    <row r="53" spans="1:5" x14ac:dyDescent="0.25">
      <c r="A53" s="3" t="s">
        <v>85</v>
      </c>
      <c r="B53" s="1">
        <v>1</v>
      </c>
      <c r="C53" s="1" t="s">
        <v>86</v>
      </c>
      <c r="D53" s="4">
        <v>0.36</v>
      </c>
      <c r="E53" s="4">
        <f>B53*D53</f>
        <v>0.36</v>
      </c>
    </row>
    <row r="54" spans="1:5" ht="18.75" x14ac:dyDescent="0.25">
      <c r="A54" s="46" t="s">
        <v>12</v>
      </c>
      <c r="B54" s="47"/>
      <c r="C54" s="47"/>
      <c r="D54" s="48"/>
      <c r="E54" s="11">
        <f>SUM(E47:E53)</f>
        <v>22.409999999999997</v>
      </c>
    </row>
    <row r="55" spans="1:5" ht="18.75" x14ac:dyDescent="0.25">
      <c r="A55" s="19"/>
      <c r="B55" s="20"/>
      <c r="C55" s="20"/>
      <c r="D55" s="21"/>
      <c r="E55" s="11"/>
    </row>
    <row r="56" spans="1:5" x14ac:dyDescent="0.25">
      <c r="A56" s="3"/>
      <c r="B56" s="3"/>
      <c r="C56" s="1"/>
      <c r="D56" s="4"/>
      <c r="E56" s="4"/>
    </row>
    <row r="57" spans="1:5" x14ac:dyDescent="0.25">
      <c r="A57" s="3" t="s">
        <v>40</v>
      </c>
      <c r="B57" s="3">
        <v>1</v>
      </c>
      <c r="C57" s="1" t="s">
        <v>13</v>
      </c>
      <c r="D57" s="4">
        <v>17</v>
      </c>
      <c r="E57" s="4">
        <f t="shared" ref="E57" si="9">B57*D57</f>
        <v>17</v>
      </c>
    </row>
    <row r="58" spans="1:5" x14ac:dyDescent="0.25">
      <c r="A58" s="3"/>
      <c r="B58" s="3"/>
      <c r="C58" s="1"/>
      <c r="D58" s="4"/>
      <c r="E58" s="4"/>
    </row>
    <row r="59" spans="1:5" ht="18.75" x14ac:dyDescent="0.25">
      <c r="A59" s="46" t="s">
        <v>15</v>
      </c>
      <c r="B59" s="47"/>
      <c r="C59" s="47"/>
      <c r="D59" s="48"/>
      <c r="E59" s="11">
        <f>SUM(E56:E58)</f>
        <v>17</v>
      </c>
    </row>
    <row r="60" spans="1:5" ht="15.75" x14ac:dyDescent="0.25">
      <c r="A60" s="49" t="s">
        <v>41</v>
      </c>
      <c r="B60" s="50"/>
      <c r="C60" s="50"/>
      <c r="D60" s="51"/>
      <c r="E60" s="13">
        <f>SUM(E59,E54)*61%</f>
        <v>24.040099999999999</v>
      </c>
    </row>
    <row r="61" spans="1:5" ht="18.75" x14ac:dyDescent="0.25">
      <c r="A61" s="46" t="s">
        <v>14</v>
      </c>
      <c r="B61" s="47"/>
      <c r="C61" s="47"/>
      <c r="D61" s="48"/>
      <c r="E61" s="11">
        <f>E54+E59+E60</f>
        <v>63.450099999999992</v>
      </c>
    </row>
    <row r="62" spans="1:5" ht="15.75" x14ac:dyDescent="0.25">
      <c r="A62" s="52" t="s">
        <v>16</v>
      </c>
      <c r="B62" s="53"/>
      <c r="C62" s="53"/>
      <c r="D62" s="54"/>
      <c r="E62" s="12">
        <f>(E63-E61)/E61</f>
        <v>2.1520832906488727</v>
      </c>
    </row>
    <row r="63" spans="1:5" ht="18.75" x14ac:dyDescent="0.25">
      <c r="A63" s="46" t="s">
        <v>17</v>
      </c>
      <c r="B63" s="47"/>
      <c r="C63" s="47"/>
      <c r="D63" s="48"/>
      <c r="E63" s="11">
        <v>200</v>
      </c>
    </row>
  </sheetData>
  <sortState xmlns:xlrd2="http://schemas.microsoft.com/office/spreadsheetml/2017/richdata2" ref="G30:K33">
    <sortCondition ref="G29"/>
  </sortState>
  <mergeCells count="35">
    <mergeCell ref="A62:D62"/>
    <mergeCell ref="A63:D63"/>
    <mergeCell ref="A44:E45"/>
    <mergeCell ref="A54:D54"/>
    <mergeCell ref="A59:D59"/>
    <mergeCell ref="A60:D60"/>
    <mergeCell ref="A61:D61"/>
    <mergeCell ref="G41:J41"/>
    <mergeCell ref="A19:D19"/>
    <mergeCell ref="A20:D20"/>
    <mergeCell ref="G16:J16"/>
    <mergeCell ref="G33:J33"/>
    <mergeCell ref="G37:J37"/>
    <mergeCell ref="G38:J38"/>
    <mergeCell ref="G39:J39"/>
    <mergeCell ref="G40:J40"/>
    <mergeCell ref="A33:D33"/>
    <mergeCell ref="A37:D37"/>
    <mergeCell ref="A39:D39"/>
    <mergeCell ref="A41:D41"/>
    <mergeCell ref="A40:D40"/>
    <mergeCell ref="A38:D38"/>
    <mergeCell ref="A11:D11"/>
    <mergeCell ref="A23:E24"/>
    <mergeCell ref="G23:K24"/>
    <mergeCell ref="G1:K2"/>
    <mergeCell ref="A1:E2"/>
    <mergeCell ref="G17:J17"/>
    <mergeCell ref="G18:J18"/>
    <mergeCell ref="G19:J19"/>
    <mergeCell ref="G20:J20"/>
    <mergeCell ref="A16:D16"/>
    <mergeCell ref="A17:D17"/>
    <mergeCell ref="A18:D18"/>
    <mergeCell ref="G11:J1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K46"/>
  <sheetViews>
    <sheetView workbookViewId="0">
      <selection activeCell="O17" sqref="O17"/>
    </sheetView>
  </sheetViews>
  <sheetFormatPr defaultRowHeight="15" x14ac:dyDescent="0.25"/>
  <cols>
    <col min="1" max="1" width="29.140625" customWidth="1"/>
    <col min="2" max="2" width="11.42578125" bestFit="1" customWidth="1"/>
    <col min="3" max="3" width="8.5703125" bestFit="1" customWidth="1"/>
    <col min="4" max="4" width="13.85546875" bestFit="1" customWidth="1"/>
    <col min="5" max="5" width="18.140625" bestFit="1" customWidth="1"/>
    <col min="7" max="7" width="23" bestFit="1" customWidth="1"/>
    <col min="8" max="8" width="10.85546875" bestFit="1" customWidth="1"/>
    <col min="9" max="9" width="9.140625" customWidth="1"/>
    <col min="10" max="10" width="13.140625" bestFit="1" customWidth="1"/>
    <col min="11" max="11" width="11.85546875" bestFit="1" customWidth="1"/>
  </cols>
  <sheetData>
    <row r="1" spans="1:11" x14ac:dyDescent="0.25">
      <c r="A1" s="45" t="s">
        <v>104</v>
      </c>
      <c r="B1" s="45"/>
      <c r="C1" s="45"/>
      <c r="D1" s="45"/>
      <c r="E1" s="45"/>
      <c r="G1" s="45" t="s">
        <v>154</v>
      </c>
      <c r="H1" s="45"/>
      <c r="I1" s="45"/>
      <c r="J1" s="45"/>
      <c r="K1" s="45"/>
    </row>
    <row r="2" spans="1:11" x14ac:dyDescent="0.25">
      <c r="A2" s="45"/>
      <c r="B2" s="45"/>
      <c r="C2" s="45"/>
      <c r="D2" s="45"/>
      <c r="E2" s="45"/>
      <c r="G2" s="45"/>
      <c r="H2" s="45"/>
      <c r="I2" s="45"/>
      <c r="J2" s="45"/>
      <c r="K2" s="45"/>
    </row>
    <row r="3" spans="1:11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  <c r="G3" s="2" t="s">
        <v>7</v>
      </c>
      <c r="H3" s="2" t="s">
        <v>3</v>
      </c>
      <c r="I3" s="2" t="s">
        <v>4</v>
      </c>
      <c r="J3" s="2" t="s">
        <v>6</v>
      </c>
      <c r="K3" s="2" t="s">
        <v>5</v>
      </c>
    </row>
    <row r="4" spans="1:11" x14ac:dyDescent="0.25">
      <c r="A4" s="5" t="s">
        <v>37</v>
      </c>
      <c r="B4" s="1">
        <v>0</v>
      </c>
      <c r="C4" s="1" t="s">
        <v>10</v>
      </c>
      <c r="D4" s="4">
        <v>10.16</v>
      </c>
      <c r="E4" s="4">
        <v>1.39</v>
      </c>
      <c r="G4" s="31" t="s">
        <v>8</v>
      </c>
      <c r="H4" s="1">
        <v>0</v>
      </c>
      <c r="I4" s="1" t="s">
        <v>10</v>
      </c>
      <c r="J4" s="4">
        <v>14.26</v>
      </c>
      <c r="K4" s="4">
        <v>2.27</v>
      </c>
    </row>
    <row r="5" spans="1:11" x14ac:dyDescent="0.25">
      <c r="A5" s="3" t="s">
        <v>11</v>
      </c>
      <c r="B5" s="1">
        <v>1</v>
      </c>
      <c r="C5" s="1" t="s">
        <v>10</v>
      </c>
      <c r="D5" s="4">
        <v>0.04</v>
      </c>
      <c r="E5" s="4">
        <f t="shared" ref="E5" si="0">B5*D5</f>
        <v>0.04</v>
      </c>
      <c r="G5" s="3" t="s">
        <v>11</v>
      </c>
      <c r="H5" s="1">
        <v>1</v>
      </c>
      <c r="I5" s="1" t="s">
        <v>10</v>
      </c>
      <c r="J5" s="4">
        <v>0.04</v>
      </c>
      <c r="K5" s="4">
        <f t="shared" ref="K5" si="1">H5*J5</f>
        <v>0.04</v>
      </c>
    </row>
    <row r="6" spans="1:11" x14ac:dyDescent="0.25">
      <c r="A6" s="3" t="s">
        <v>80</v>
      </c>
      <c r="B6" s="1">
        <v>1</v>
      </c>
      <c r="C6" s="1" t="s">
        <v>4</v>
      </c>
      <c r="D6" s="4">
        <v>1.27</v>
      </c>
      <c r="E6" s="4">
        <f>B6*D6</f>
        <v>1.27</v>
      </c>
      <c r="G6" s="3" t="s">
        <v>80</v>
      </c>
      <c r="H6" s="1">
        <v>1</v>
      </c>
      <c r="I6" s="1" t="s">
        <v>4</v>
      </c>
      <c r="J6" s="4">
        <v>1.27</v>
      </c>
      <c r="K6" s="4">
        <f>H6*J6</f>
        <v>1.27</v>
      </c>
    </row>
    <row r="7" spans="1:11" x14ac:dyDescent="0.25">
      <c r="A7" s="3" t="s">
        <v>81</v>
      </c>
      <c r="B7" s="1">
        <v>1</v>
      </c>
      <c r="C7" s="1" t="s">
        <v>4</v>
      </c>
      <c r="D7" s="4">
        <v>0.09</v>
      </c>
      <c r="E7" s="4">
        <f>B7*D7</f>
        <v>0.09</v>
      </c>
      <c r="G7" s="3" t="s">
        <v>81</v>
      </c>
      <c r="H7" s="1">
        <v>1</v>
      </c>
      <c r="I7" s="1" t="s">
        <v>4</v>
      </c>
      <c r="J7" s="4">
        <v>0.09</v>
      </c>
      <c r="K7" s="4">
        <f>H7*J7</f>
        <v>0.09</v>
      </c>
    </row>
    <row r="8" spans="1:11" x14ac:dyDescent="0.25">
      <c r="A8" s="3" t="s">
        <v>18</v>
      </c>
      <c r="B8" s="1">
        <v>1</v>
      </c>
      <c r="C8" s="1" t="s">
        <v>4</v>
      </c>
      <c r="D8" s="4">
        <v>0.69</v>
      </c>
      <c r="E8" s="4">
        <f>B8*D8</f>
        <v>0.69</v>
      </c>
      <c r="G8" s="3" t="s">
        <v>18</v>
      </c>
      <c r="H8" s="1">
        <v>1</v>
      </c>
      <c r="I8" s="1" t="s">
        <v>4</v>
      </c>
      <c r="J8" s="4">
        <v>0.69</v>
      </c>
      <c r="K8" s="4">
        <f>H8*J8</f>
        <v>0.69</v>
      </c>
    </row>
    <row r="9" spans="1:11" x14ac:dyDescent="0.25">
      <c r="A9" s="3"/>
      <c r="B9" s="1"/>
      <c r="C9" s="1"/>
      <c r="D9" s="4"/>
      <c r="E9" s="4"/>
      <c r="G9" s="3"/>
      <c r="H9" s="1"/>
      <c r="I9" s="1"/>
      <c r="J9" s="4"/>
      <c r="K9" s="4"/>
    </row>
    <row r="10" spans="1:11" ht="18.75" x14ac:dyDescent="0.25">
      <c r="A10" s="46" t="s">
        <v>12</v>
      </c>
      <c r="B10" s="47"/>
      <c r="C10" s="47"/>
      <c r="D10" s="48"/>
      <c r="E10" s="11">
        <f>SUM(E4:E9)</f>
        <v>3.48</v>
      </c>
      <c r="G10" s="46" t="s">
        <v>12</v>
      </c>
      <c r="H10" s="47"/>
      <c r="I10" s="47"/>
      <c r="J10" s="48"/>
      <c r="K10" s="11">
        <f>SUM(K4:K9)</f>
        <v>4.3599999999999994</v>
      </c>
    </row>
    <row r="11" spans="1:11" ht="18.75" x14ac:dyDescent="0.25">
      <c r="A11" s="10"/>
      <c r="B11" s="10"/>
      <c r="C11" s="10"/>
      <c r="D11" s="11"/>
      <c r="E11" s="11"/>
      <c r="G11" s="10"/>
      <c r="H11" s="10"/>
      <c r="I11" s="10"/>
      <c r="J11" s="11"/>
      <c r="K11" s="11"/>
    </row>
    <row r="12" spans="1:11" x14ac:dyDescent="0.25">
      <c r="A12" s="3"/>
      <c r="B12" s="3"/>
      <c r="C12" s="1"/>
      <c r="D12" s="4"/>
      <c r="E12" s="4"/>
      <c r="G12" s="3"/>
      <c r="H12" s="3"/>
      <c r="I12" s="1"/>
      <c r="J12" s="4"/>
      <c r="K12" s="4"/>
    </row>
    <row r="13" spans="1:11" x14ac:dyDescent="0.25">
      <c r="A13" s="3" t="s">
        <v>40</v>
      </c>
      <c r="B13" s="3">
        <v>1</v>
      </c>
      <c r="C13" s="1" t="s">
        <v>13</v>
      </c>
      <c r="D13" s="4">
        <v>2.2000000000000002</v>
      </c>
      <c r="E13" s="4">
        <f t="shared" ref="E13" si="2">B13*D13</f>
        <v>2.2000000000000002</v>
      </c>
      <c r="G13" s="3" t="s">
        <v>40</v>
      </c>
      <c r="H13" s="3">
        <v>1</v>
      </c>
      <c r="I13" s="1" t="s">
        <v>13</v>
      </c>
      <c r="J13" s="4">
        <v>2.2000000000000002</v>
      </c>
      <c r="K13" s="4">
        <f t="shared" ref="K13" si="3">H13*J13</f>
        <v>2.2000000000000002</v>
      </c>
    </row>
    <row r="14" spans="1:11" x14ac:dyDescent="0.25">
      <c r="A14" s="3"/>
      <c r="B14" s="3"/>
      <c r="C14" s="1"/>
      <c r="D14" s="4"/>
      <c r="E14" s="4"/>
      <c r="G14" s="3"/>
      <c r="H14" s="3"/>
      <c r="I14" s="1"/>
      <c r="J14" s="4"/>
      <c r="K14" s="4"/>
    </row>
    <row r="15" spans="1:11" ht="18.75" x14ac:dyDescent="0.25">
      <c r="A15" s="46" t="s">
        <v>15</v>
      </c>
      <c r="B15" s="47"/>
      <c r="C15" s="47"/>
      <c r="D15" s="48"/>
      <c r="E15" s="11">
        <f>SUM(E12:E14)</f>
        <v>2.2000000000000002</v>
      </c>
      <c r="G15" s="46" t="s">
        <v>15</v>
      </c>
      <c r="H15" s="47"/>
      <c r="I15" s="47"/>
      <c r="J15" s="48"/>
      <c r="K15" s="11">
        <f>SUM(K12:K14)</f>
        <v>2.2000000000000002</v>
      </c>
    </row>
    <row r="16" spans="1:11" ht="15.75" x14ac:dyDescent="0.25">
      <c r="A16" s="49" t="s">
        <v>41</v>
      </c>
      <c r="B16" s="50"/>
      <c r="C16" s="50"/>
      <c r="D16" s="51"/>
      <c r="E16" s="13">
        <f>SUM(E15,E10)*61%</f>
        <v>3.4647999999999999</v>
      </c>
      <c r="G16" s="49" t="s">
        <v>41</v>
      </c>
      <c r="H16" s="50"/>
      <c r="I16" s="50"/>
      <c r="J16" s="51"/>
      <c r="K16" s="13">
        <f>SUM(K15,K10)*61%</f>
        <v>4.0015999999999998</v>
      </c>
    </row>
    <row r="17" spans="1:11" ht="18.75" x14ac:dyDescent="0.25">
      <c r="A17" s="46" t="s">
        <v>14</v>
      </c>
      <c r="B17" s="47"/>
      <c r="C17" s="47"/>
      <c r="D17" s="48"/>
      <c r="E17" s="11">
        <f>SUM(E16,E15,E10)</f>
        <v>9.1448</v>
      </c>
      <c r="G17" s="46" t="s">
        <v>14</v>
      </c>
      <c r="H17" s="47"/>
      <c r="I17" s="47"/>
      <c r="J17" s="48"/>
      <c r="K17" s="11">
        <f>SUM(K16,K15,K10)</f>
        <v>10.561599999999999</v>
      </c>
    </row>
    <row r="18" spans="1:11" ht="15.75" x14ac:dyDescent="0.25">
      <c r="A18" s="52" t="s">
        <v>16</v>
      </c>
      <c r="B18" s="53"/>
      <c r="C18" s="53"/>
      <c r="D18" s="54"/>
      <c r="E18" s="25">
        <f>(E19-E17)/E17</f>
        <v>3.9208293237686989</v>
      </c>
      <c r="G18" s="52" t="s">
        <v>16</v>
      </c>
      <c r="H18" s="53"/>
      <c r="I18" s="53"/>
      <c r="J18" s="54"/>
      <c r="K18" s="25">
        <f>(K19-K17)/K17</f>
        <v>3.7341311922436002</v>
      </c>
    </row>
    <row r="19" spans="1:11" ht="18.75" x14ac:dyDescent="0.25">
      <c r="A19" s="44" t="s">
        <v>17</v>
      </c>
      <c r="B19" s="44"/>
      <c r="C19" s="44"/>
      <c r="D19" s="44"/>
      <c r="E19" s="11">
        <v>45</v>
      </c>
      <c r="F19" s="24"/>
      <c r="G19" s="44" t="s">
        <v>17</v>
      </c>
      <c r="H19" s="44"/>
      <c r="I19" s="44"/>
      <c r="J19" s="44"/>
      <c r="K19" s="11">
        <v>50</v>
      </c>
    </row>
    <row r="21" spans="1:11" x14ac:dyDescent="0.25">
      <c r="A21" s="27" t="s">
        <v>89</v>
      </c>
      <c r="B21" s="28"/>
      <c r="C21" s="28"/>
      <c r="D21" s="35"/>
    </row>
    <row r="22" spans="1:11" x14ac:dyDescent="0.25">
      <c r="A22" s="3" t="s">
        <v>94</v>
      </c>
    </row>
    <row r="24" spans="1:11" x14ac:dyDescent="0.25">
      <c r="A24" s="45" t="s">
        <v>105</v>
      </c>
      <c r="B24" s="45"/>
      <c r="C24" s="45"/>
      <c r="D24" s="45"/>
      <c r="E24" s="45"/>
      <c r="G24" s="45" t="s">
        <v>155</v>
      </c>
      <c r="H24" s="45"/>
      <c r="I24" s="45"/>
      <c r="J24" s="45"/>
      <c r="K24" s="45"/>
    </row>
    <row r="25" spans="1:11" x14ac:dyDescent="0.25">
      <c r="A25" s="45"/>
      <c r="B25" s="45"/>
      <c r="C25" s="45"/>
      <c r="D25" s="45"/>
      <c r="E25" s="45"/>
      <c r="G25" s="45"/>
      <c r="H25" s="45"/>
      <c r="I25" s="45"/>
      <c r="J25" s="45"/>
      <c r="K25" s="45"/>
    </row>
    <row r="26" spans="1:11" x14ac:dyDescent="0.25">
      <c r="A26" s="2" t="s">
        <v>7</v>
      </c>
      <c r="B26" s="2" t="s">
        <v>3</v>
      </c>
      <c r="C26" s="2" t="s">
        <v>4</v>
      </c>
      <c r="D26" s="2" t="s">
        <v>6</v>
      </c>
      <c r="E26" s="2" t="s">
        <v>5</v>
      </c>
      <c r="G26" s="2" t="s">
        <v>7</v>
      </c>
      <c r="H26" s="2" t="s">
        <v>3</v>
      </c>
      <c r="I26" s="2" t="s">
        <v>4</v>
      </c>
      <c r="J26" s="2" t="s">
        <v>6</v>
      </c>
      <c r="K26" s="2" t="s">
        <v>5</v>
      </c>
    </row>
    <row r="27" spans="1:11" x14ac:dyDescent="0.25">
      <c r="A27" s="5" t="s">
        <v>114</v>
      </c>
      <c r="B27" s="1">
        <v>0</v>
      </c>
      <c r="C27" s="1" t="s">
        <v>10</v>
      </c>
      <c r="D27" s="4">
        <v>10.16</v>
      </c>
      <c r="E27" s="4">
        <v>1.39</v>
      </c>
      <c r="G27" s="31" t="s">
        <v>124</v>
      </c>
      <c r="H27" s="1">
        <v>0</v>
      </c>
      <c r="I27" s="1" t="s">
        <v>10</v>
      </c>
      <c r="J27" s="4">
        <v>19.25</v>
      </c>
      <c r="K27" s="4">
        <v>3.11</v>
      </c>
    </row>
    <row r="28" spans="1:11" x14ac:dyDescent="0.25">
      <c r="A28" s="5" t="s">
        <v>98</v>
      </c>
      <c r="B28" s="6">
        <v>0</v>
      </c>
      <c r="C28" s="6" t="s">
        <v>10</v>
      </c>
      <c r="D28" s="7">
        <f>1+6.69</f>
        <v>7.69</v>
      </c>
      <c r="E28" s="7">
        <v>0.91</v>
      </c>
      <c r="G28" s="3" t="s">
        <v>11</v>
      </c>
      <c r="H28" s="1">
        <v>1</v>
      </c>
      <c r="I28" s="1" t="s">
        <v>10</v>
      </c>
      <c r="J28" s="4">
        <v>0.04</v>
      </c>
      <c r="K28" s="4">
        <f t="shared" ref="K28" si="4">H28*J28</f>
        <v>0.04</v>
      </c>
    </row>
    <row r="29" spans="1:11" x14ac:dyDescent="0.25">
      <c r="A29" s="3" t="s">
        <v>11</v>
      </c>
      <c r="B29" s="1">
        <v>1</v>
      </c>
      <c r="C29" s="1" t="s">
        <v>10</v>
      </c>
      <c r="D29" s="4">
        <v>0.04</v>
      </c>
      <c r="E29" s="4">
        <f t="shared" ref="E29" si="5">B29*D29</f>
        <v>0.04</v>
      </c>
      <c r="G29" s="3" t="s">
        <v>80</v>
      </c>
      <c r="H29" s="1">
        <v>1</v>
      </c>
      <c r="I29" s="1" t="s">
        <v>4</v>
      </c>
      <c r="J29" s="4">
        <v>1.27</v>
      </c>
      <c r="K29" s="4">
        <f>H29*J29</f>
        <v>1.27</v>
      </c>
    </row>
    <row r="30" spans="1:11" x14ac:dyDescent="0.25">
      <c r="A30" s="3" t="s">
        <v>80</v>
      </c>
      <c r="B30" s="1">
        <v>1</v>
      </c>
      <c r="C30" s="1" t="s">
        <v>4</v>
      </c>
      <c r="D30" s="4">
        <v>1.27</v>
      </c>
      <c r="E30" s="4">
        <f>B30*D30</f>
        <v>1.27</v>
      </c>
      <c r="G30" s="3" t="s">
        <v>81</v>
      </c>
      <c r="H30" s="1">
        <v>1</v>
      </c>
      <c r="I30" s="1" t="s">
        <v>4</v>
      </c>
      <c r="J30" s="4">
        <v>0.09</v>
      </c>
      <c r="K30" s="4">
        <f>H30*J30</f>
        <v>0.09</v>
      </c>
    </row>
    <row r="31" spans="1:11" x14ac:dyDescent="0.25">
      <c r="A31" s="3" t="s">
        <v>81</v>
      </c>
      <c r="B31" s="1">
        <v>1</v>
      </c>
      <c r="C31" s="1" t="s">
        <v>4</v>
      </c>
      <c r="D31" s="4">
        <v>0.09</v>
      </c>
      <c r="E31" s="4">
        <f>B31*D31</f>
        <v>0.09</v>
      </c>
      <c r="G31" s="3" t="s">
        <v>18</v>
      </c>
      <c r="H31" s="1">
        <v>1</v>
      </c>
      <c r="I31" s="1" t="s">
        <v>4</v>
      </c>
      <c r="J31" s="4">
        <v>0.69</v>
      </c>
      <c r="K31" s="4">
        <f>H31*J31</f>
        <v>0.69</v>
      </c>
    </row>
    <row r="32" spans="1:11" x14ac:dyDescent="0.25">
      <c r="A32" s="3" t="s">
        <v>18</v>
      </c>
      <c r="B32" s="1">
        <v>1</v>
      </c>
      <c r="C32" s="1" t="s">
        <v>4</v>
      </c>
      <c r="D32" s="4">
        <v>0.69</v>
      </c>
      <c r="E32" s="4">
        <f>B32*D32</f>
        <v>0.69</v>
      </c>
      <c r="G32" s="3"/>
      <c r="H32" s="1"/>
      <c r="I32" s="1"/>
      <c r="J32" s="4"/>
      <c r="K32" s="4"/>
    </row>
    <row r="33" spans="1:11" ht="18.75" x14ac:dyDescent="0.25">
      <c r="A33" s="3"/>
      <c r="B33" s="1"/>
      <c r="C33" s="1"/>
      <c r="D33" s="4"/>
      <c r="E33" s="4"/>
      <c r="G33" s="46" t="s">
        <v>12</v>
      </c>
      <c r="H33" s="47"/>
      <c r="I33" s="47"/>
      <c r="J33" s="48"/>
      <c r="K33" s="11">
        <f>SUM(K27:K32)</f>
        <v>5.1999999999999993</v>
      </c>
    </row>
    <row r="34" spans="1:11" ht="18.75" x14ac:dyDescent="0.25">
      <c r="A34" s="46" t="s">
        <v>12</v>
      </c>
      <c r="B34" s="47"/>
      <c r="C34" s="47"/>
      <c r="D34" s="48"/>
      <c r="E34" s="11">
        <f>SUM(E27:E33)</f>
        <v>4.3899999999999997</v>
      </c>
      <c r="G34" s="10"/>
      <c r="H34" s="10"/>
      <c r="I34" s="10"/>
      <c r="J34" s="11"/>
      <c r="K34" s="11"/>
    </row>
    <row r="35" spans="1:11" ht="18.75" x14ac:dyDescent="0.25">
      <c r="A35" s="10"/>
      <c r="B35" s="10"/>
      <c r="C35" s="10"/>
      <c r="D35" s="11"/>
      <c r="E35" s="11"/>
      <c r="G35" s="3"/>
      <c r="H35" s="3"/>
      <c r="I35" s="1"/>
      <c r="J35" s="4"/>
      <c r="K35" s="4"/>
    </row>
    <row r="36" spans="1:11" x14ac:dyDescent="0.25">
      <c r="A36" s="3"/>
      <c r="B36" s="3"/>
      <c r="C36" s="1"/>
      <c r="D36" s="4"/>
      <c r="E36" s="4"/>
      <c r="G36" s="3" t="s">
        <v>40</v>
      </c>
      <c r="H36" s="3">
        <v>1</v>
      </c>
      <c r="I36" s="1" t="s">
        <v>13</v>
      </c>
      <c r="J36" s="4">
        <v>2.2000000000000002</v>
      </c>
      <c r="K36" s="4">
        <f t="shared" ref="K36" si="6">H36*J36</f>
        <v>2.2000000000000002</v>
      </c>
    </row>
    <row r="37" spans="1:11" x14ac:dyDescent="0.25">
      <c r="A37" s="3" t="s">
        <v>40</v>
      </c>
      <c r="B37" s="3">
        <v>1</v>
      </c>
      <c r="C37" s="1" t="s">
        <v>13</v>
      </c>
      <c r="D37" s="4">
        <v>2.2000000000000002</v>
      </c>
      <c r="E37" s="4">
        <f t="shared" ref="E37" si="7">B37*D37</f>
        <v>2.2000000000000002</v>
      </c>
      <c r="G37" s="3"/>
      <c r="H37" s="3"/>
      <c r="I37" s="1"/>
      <c r="J37" s="4"/>
      <c r="K37" s="4"/>
    </row>
    <row r="38" spans="1:11" ht="18.75" x14ac:dyDescent="0.25">
      <c r="A38" s="3"/>
      <c r="B38" s="3"/>
      <c r="C38" s="1"/>
      <c r="D38" s="4"/>
      <c r="E38" s="4"/>
      <c r="G38" s="46" t="s">
        <v>15</v>
      </c>
      <c r="H38" s="47"/>
      <c r="I38" s="47"/>
      <c r="J38" s="48"/>
      <c r="K38" s="11">
        <f>SUM(K35:K37)</f>
        <v>2.2000000000000002</v>
      </c>
    </row>
    <row r="39" spans="1:11" ht="18.75" x14ac:dyDescent="0.25">
      <c r="A39" s="46" t="s">
        <v>15</v>
      </c>
      <c r="B39" s="47"/>
      <c r="C39" s="47"/>
      <c r="D39" s="48"/>
      <c r="E39" s="11">
        <f>SUM(E36:E38)</f>
        <v>2.2000000000000002</v>
      </c>
      <c r="G39" s="49" t="s">
        <v>41</v>
      </c>
      <c r="H39" s="50"/>
      <c r="I39" s="50"/>
      <c r="J39" s="51"/>
      <c r="K39" s="13">
        <f>SUM(K38,K33)*61%</f>
        <v>4.5139999999999993</v>
      </c>
    </row>
    <row r="40" spans="1:11" ht="18.75" x14ac:dyDescent="0.25">
      <c r="A40" s="49" t="s">
        <v>41</v>
      </c>
      <c r="B40" s="50"/>
      <c r="C40" s="50"/>
      <c r="D40" s="51"/>
      <c r="E40" s="13">
        <f>SUM(E39,E34)*61%</f>
        <v>4.0198999999999998</v>
      </c>
      <c r="G40" s="46" t="s">
        <v>14</v>
      </c>
      <c r="H40" s="47"/>
      <c r="I40" s="47"/>
      <c r="J40" s="48"/>
      <c r="K40" s="11">
        <f>SUM(K39,K38,K33)</f>
        <v>11.913999999999998</v>
      </c>
    </row>
    <row r="41" spans="1:11" ht="18.75" x14ac:dyDescent="0.25">
      <c r="A41" s="46" t="s">
        <v>14</v>
      </c>
      <c r="B41" s="47"/>
      <c r="C41" s="47"/>
      <c r="D41" s="48"/>
      <c r="E41" s="11">
        <f>SUM(E40,E39,E34)</f>
        <v>10.6099</v>
      </c>
      <c r="G41" s="52" t="s">
        <v>16</v>
      </c>
      <c r="H41" s="53"/>
      <c r="I41" s="53"/>
      <c r="J41" s="54"/>
      <c r="K41" s="25">
        <f>(K42-K40)/K40</f>
        <v>3.1967433271781101</v>
      </c>
    </row>
    <row r="42" spans="1:11" ht="18.75" x14ac:dyDescent="0.25">
      <c r="A42" s="52" t="s">
        <v>16</v>
      </c>
      <c r="B42" s="53"/>
      <c r="C42" s="53"/>
      <c r="D42" s="54"/>
      <c r="E42" s="25">
        <f>(E43-E41)/E41</f>
        <v>3.7125797604124453</v>
      </c>
      <c r="G42" s="44" t="s">
        <v>17</v>
      </c>
      <c r="H42" s="44"/>
      <c r="I42" s="44"/>
      <c r="J42" s="44"/>
      <c r="K42" s="11">
        <v>50</v>
      </c>
    </row>
    <row r="43" spans="1:11" ht="18.75" x14ac:dyDescent="0.25">
      <c r="A43" s="44" t="s">
        <v>17</v>
      </c>
      <c r="B43" s="44"/>
      <c r="C43" s="44"/>
      <c r="D43" s="44"/>
      <c r="E43" s="11">
        <v>50</v>
      </c>
      <c r="F43" s="24"/>
    </row>
    <row r="45" spans="1:11" x14ac:dyDescent="0.25">
      <c r="A45" s="27" t="s">
        <v>89</v>
      </c>
      <c r="B45" s="28"/>
      <c r="C45" s="28"/>
      <c r="D45" s="35"/>
    </row>
    <row r="46" spans="1:11" x14ac:dyDescent="0.25">
      <c r="A46" s="3" t="s">
        <v>94</v>
      </c>
    </row>
  </sheetData>
  <sortState xmlns:xlrd2="http://schemas.microsoft.com/office/spreadsheetml/2017/richdata2" ref="A6:E9">
    <sortCondition ref="A5"/>
  </sortState>
  <mergeCells count="28">
    <mergeCell ref="A18:D18"/>
    <mergeCell ref="A1:E2"/>
    <mergeCell ref="A10:D10"/>
    <mergeCell ref="A15:D15"/>
    <mergeCell ref="A16:D16"/>
    <mergeCell ref="A17:D17"/>
    <mergeCell ref="A42:D42"/>
    <mergeCell ref="A43:D43"/>
    <mergeCell ref="A19:D19"/>
    <mergeCell ref="A24:E25"/>
    <mergeCell ref="A34:D34"/>
    <mergeCell ref="A39:D39"/>
    <mergeCell ref="A40:D40"/>
    <mergeCell ref="A41:D41"/>
    <mergeCell ref="G1:K2"/>
    <mergeCell ref="G10:J10"/>
    <mergeCell ref="G15:J15"/>
    <mergeCell ref="G16:J16"/>
    <mergeCell ref="G17:J17"/>
    <mergeCell ref="G39:J39"/>
    <mergeCell ref="G40:J40"/>
    <mergeCell ref="G41:J41"/>
    <mergeCell ref="G42:J42"/>
    <mergeCell ref="G18:J18"/>
    <mergeCell ref="G19:J19"/>
    <mergeCell ref="G24:K25"/>
    <mergeCell ref="G33:J33"/>
    <mergeCell ref="G38:J38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40C4E-AFEB-44CD-AAE8-7DF4C974F381}">
  <dimension ref="A1:K23"/>
  <sheetViews>
    <sheetView workbookViewId="0">
      <selection activeCell="F24" sqref="F24"/>
    </sheetView>
  </sheetViews>
  <sheetFormatPr defaultRowHeight="15" x14ac:dyDescent="0.25"/>
  <cols>
    <col min="1" max="1" width="45.7109375" bestFit="1" customWidth="1"/>
    <col min="2" max="2" width="10.85546875" bestFit="1" customWidth="1"/>
    <col min="4" max="4" width="13.140625" bestFit="1" customWidth="1"/>
    <col min="5" max="5" width="11.85546875" bestFit="1" customWidth="1"/>
    <col min="7" max="7" width="45.7109375" bestFit="1" customWidth="1"/>
    <col min="8" max="8" width="10.85546875" bestFit="1" customWidth="1"/>
    <col min="10" max="10" width="13.140625" bestFit="1" customWidth="1"/>
    <col min="11" max="11" width="11.85546875" bestFit="1" customWidth="1"/>
  </cols>
  <sheetData>
    <row r="1" spans="1:11" x14ac:dyDescent="0.25">
      <c r="A1" s="45" t="s">
        <v>159</v>
      </c>
      <c r="B1" s="45"/>
      <c r="C1" s="45"/>
      <c r="D1" s="45"/>
      <c r="E1" s="45"/>
      <c r="G1" s="45" t="s">
        <v>160</v>
      </c>
      <c r="H1" s="45"/>
      <c r="I1" s="45"/>
      <c r="J1" s="45"/>
      <c r="K1" s="45"/>
    </row>
    <row r="2" spans="1:11" x14ac:dyDescent="0.25">
      <c r="A2" s="45"/>
      <c r="B2" s="45"/>
      <c r="C2" s="45"/>
      <c r="D2" s="45"/>
      <c r="E2" s="45"/>
      <c r="G2" s="45"/>
      <c r="H2" s="45"/>
      <c r="I2" s="45"/>
      <c r="J2" s="45"/>
      <c r="K2" s="45"/>
    </row>
    <row r="3" spans="1:11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  <c r="G3" s="2" t="s">
        <v>7</v>
      </c>
      <c r="H3" s="2" t="s">
        <v>3</v>
      </c>
      <c r="I3" s="2" t="s">
        <v>4</v>
      </c>
      <c r="J3" s="2" t="s">
        <v>6</v>
      </c>
      <c r="K3" s="2" t="s">
        <v>5</v>
      </c>
    </row>
    <row r="4" spans="1:11" x14ac:dyDescent="0.25">
      <c r="A4" s="5" t="s">
        <v>37</v>
      </c>
      <c r="B4" s="1">
        <v>0</v>
      </c>
      <c r="C4" s="1" t="s">
        <v>10</v>
      </c>
      <c r="D4" s="4">
        <v>10.16</v>
      </c>
      <c r="E4" s="4">
        <v>1.45</v>
      </c>
      <c r="G4" s="5" t="s">
        <v>37</v>
      </c>
      <c r="H4" s="1">
        <v>0</v>
      </c>
      <c r="I4" s="1" t="s">
        <v>10</v>
      </c>
      <c r="J4" s="4">
        <v>10.16</v>
      </c>
      <c r="K4" s="4">
        <v>1.45</v>
      </c>
    </row>
    <row r="5" spans="1:11" x14ac:dyDescent="0.25">
      <c r="A5" s="5" t="s">
        <v>156</v>
      </c>
      <c r="B5" s="1">
        <v>1</v>
      </c>
      <c r="C5" s="1" t="s">
        <v>4</v>
      </c>
      <c r="D5" s="4">
        <v>3.02</v>
      </c>
      <c r="E5" s="4">
        <f t="shared" ref="E5:E6" si="0">B5*D5</f>
        <v>3.02</v>
      </c>
      <c r="G5" s="5" t="s">
        <v>156</v>
      </c>
      <c r="H5" s="1">
        <v>1</v>
      </c>
      <c r="I5" s="1" t="s">
        <v>4</v>
      </c>
      <c r="J5" s="4">
        <v>4.25</v>
      </c>
      <c r="K5" s="4">
        <f t="shared" ref="K5:K6" si="1">H5*J5</f>
        <v>4.25</v>
      </c>
    </row>
    <row r="6" spans="1:11" x14ac:dyDescent="0.25">
      <c r="A6" s="3" t="s">
        <v>11</v>
      </c>
      <c r="B6" s="1">
        <v>1</v>
      </c>
      <c r="C6" s="1" t="s">
        <v>10</v>
      </c>
      <c r="D6" s="4">
        <v>0.04</v>
      </c>
      <c r="E6" s="4">
        <f t="shared" si="0"/>
        <v>0.04</v>
      </c>
      <c r="G6" s="3" t="s">
        <v>11</v>
      </c>
      <c r="H6" s="1">
        <v>1</v>
      </c>
      <c r="I6" s="1" t="s">
        <v>10</v>
      </c>
      <c r="J6" s="4">
        <v>0.04</v>
      </c>
      <c r="K6" s="4">
        <f t="shared" si="1"/>
        <v>0.04</v>
      </c>
    </row>
    <row r="7" spans="1:11" x14ac:dyDescent="0.25">
      <c r="A7" s="3" t="s">
        <v>80</v>
      </c>
      <c r="B7" s="1">
        <v>1</v>
      </c>
      <c r="C7" s="1" t="s">
        <v>4</v>
      </c>
      <c r="D7" s="4">
        <v>1.27</v>
      </c>
      <c r="E7" s="4">
        <f>B7*D7</f>
        <v>1.27</v>
      </c>
      <c r="G7" s="3" t="s">
        <v>80</v>
      </c>
      <c r="H7" s="1">
        <v>1</v>
      </c>
      <c r="I7" s="1" t="s">
        <v>4</v>
      </c>
      <c r="J7" s="4">
        <v>1.27</v>
      </c>
      <c r="K7" s="4">
        <f>H7*J7</f>
        <v>1.27</v>
      </c>
    </row>
    <row r="8" spans="1:11" x14ac:dyDescent="0.25">
      <c r="A8" s="3" t="s">
        <v>81</v>
      </c>
      <c r="B8" s="1">
        <v>1</v>
      </c>
      <c r="C8" s="1" t="s">
        <v>4</v>
      </c>
      <c r="D8" s="4">
        <v>0.09</v>
      </c>
      <c r="E8" s="4">
        <f>B8*D8</f>
        <v>0.09</v>
      </c>
      <c r="G8" s="3" t="s">
        <v>81</v>
      </c>
      <c r="H8" s="1">
        <v>1</v>
      </c>
      <c r="I8" s="1" t="s">
        <v>4</v>
      </c>
      <c r="J8" s="4">
        <v>0.09</v>
      </c>
      <c r="K8" s="4">
        <f>H8*J8</f>
        <v>0.09</v>
      </c>
    </row>
    <row r="9" spans="1:11" x14ac:dyDescent="0.25">
      <c r="A9" s="3" t="s">
        <v>18</v>
      </c>
      <c r="B9" s="1">
        <v>1</v>
      </c>
      <c r="C9" s="1" t="s">
        <v>4</v>
      </c>
      <c r="D9" s="4">
        <v>0.69</v>
      </c>
      <c r="E9" s="4">
        <f>B9*D9</f>
        <v>0.69</v>
      </c>
      <c r="G9" s="3" t="s">
        <v>18</v>
      </c>
      <c r="H9" s="1">
        <v>1</v>
      </c>
      <c r="I9" s="1" t="s">
        <v>4</v>
      </c>
      <c r="J9" s="4">
        <v>0.69</v>
      </c>
      <c r="K9" s="4">
        <f>H9*J9</f>
        <v>0.69</v>
      </c>
    </row>
    <row r="10" spans="1:11" x14ac:dyDescent="0.25">
      <c r="A10" s="3"/>
      <c r="B10" s="1"/>
      <c r="C10" s="1"/>
      <c r="D10" s="4"/>
      <c r="E10" s="4"/>
      <c r="G10" s="3"/>
      <c r="H10" s="1"/>
      <c r="I10" s="1"/>
      <c r="J10" s="4"/>
      <c r="K10" s="4"/>
    </row>
    <row r="11" spans="1:11" ht="18.75" x14ac:dyDescent="0.25">
      <c r="A11" s="46" t="s">
        <v>12</v>
      </c>
      <c r="B11" s="47"/>
      <c r="C11" s="47"/>
      <c r="D11" s="48"/>
      <c r="E11" s="11">
        <f>SUM(E4:E10)</f>
        <v>6.5599999999999987</v>
      </c>
      <c r="G11" s="46" t="s">
        <v>12</v>
      </c>
      <c r="H11" s="47"/>
      <c r="I11" s="47"/>
      <c r="J11" s="48"/>
      <c r="K11" s="11">
        <f>SUM(K4:K10)</f>
        <v>7.7899999999999991</v>
      </c>
    </row>
    <row r="12" spans="1:11" ht="18.75" x14ac:dyDescent="0.25">
      <c r="A12" s="10"/>
      <c r="B12" s="10"/>
      <c r="C12" s="10"/>
      <c r="D12" s="11"/>
      <c r="E12" s="11"/>
      <c r="G12" s="10"/>
      <c r="H12" s="10"/>
      <c r="I12" s="10"/>
      <c r="J12" s="11"/>
      <c r="K12" s="11"/>
    </row>
    <row r="13" spans="1:11" x14ac:dyDescent="0.25">
      <c r="A13" s="3"/>
      <c r="B13" s="3"/>
      <c r="C13" s="1"/>
      <c r="D13" s="4"/>
      <c r="E13" s="4"/>
      <c r="G13" s="3"/>
      <c r="H13" s="3"/>
      <c r="I13" s="1"/>
      <c r="J13" s="4"/>
      <c r="K13" s="4"/>
    </row>
    <row r="14" spans="1:11" x14ac:dyDescent="0.25">
      <c r="A14" s="3" t="s">
        <v>40</v>
      </c>
      <c r="B14" s="3">
        <v>1</v>
      </c>
      <c r="C14" s="1" t="s">
        <v>13</v>
      </c>
      <c r="D14" s="4">
        <v>2.2000000000000002</v>
      </c>
      <c r="E14" s="4">
        <f t="shared" ref="E14" si="2">B14*D14</f>
        <v>2.2000000000000002</v>
      </c>
      <c r="G14" s="3" t="s">
        <v>40</v>
      </c>
      <c r="H14" s="3">
        <v>1</v>
      </c>
      <c r="I14" s="1" t="s">
        <v>13</v>
      </c>
      <c r="J14" s="4">
        <v>2.2000000000000002</v>
      </c>
      <c r="K14" s="4">
        <f t="shared" ref="K14" si="3">H14*J14</f>
        <v>2.2000000000000002</v>
      </c>
    </row>
    <row r="15" spans="1:11" x14ac:dyDescent="0.25">
      <c r="A15" s="3"/>
      <c r="B15" s="3"/>
      <c r="C15" s="1"/>
      <c r="D15" s="4"/>
      <c r="E15" s="4"/>
      <c r="G15" s="3"/>
      <c r="H15" s="3"/>
      <c r="I15" s="1"/>
      <c r="J15" s="4"/>
      <c r="K15" s="4"/>
    </row>
    <row r="16" spans="1:11" ht="18.75" x14ac:dyDescent="0.25">
      <c r="A16" s="46" t="s">
        <v>15</v>
      </c>
      <c r="B16" s="47"/>
      <c r="C16" s="47"/>
      <c r="D16" s="48"/>
      <c r="E16" s="11">
        <f>SUM(E13:E15)</f>
        <v>2.2000000000000002</v>
      </c>
      <c r="G16" s="46" t="s">
        <v>15</v>
      </c>
      <c r="H16" s="47"/>
      <c r="I16" s="47"/>
      <c r="J16" s="48"/>
      <c r="K16" s="11">
        <f>SUM(K13:K15)</f>
        <v>2.2000000000000002</v>
      </c>
    </row>
    <row r="17" spans="1:11" ht="15.75" x14ac:dyDescent="0.25">
      <c r="A17" s="49" t="s">
        <v>41</v>
      </c>
      <c r="B17" s="50"/>
      <c r="C17" s="50"/>
      <c r="D17" s="51"/>
      <c r="E17" s="13">
        <f>SUM(E16,E11)*61%</f>
        <v>5.3435999999999986</v>
      </c>
      <c r="G17" s="49" t="s">
        <v>41</v>
      </c>
      <c r="H17" s="50"/>
      <c r="I17" s="50"/>
      <c r="J17" s="51"/>
      <c r="K17" s="13">
        <f>SUM(K16,K11)*61%</f>
        <v>6.0938999999999988</v>
      </c>
    </row>
    <row r="18" spans="1:11" ht="18.75" x14ac:dyDescent="0.25">
      <c r="A18" s="46" t="s">
        <v>14</v>
      </c>
      <c r="B18" s="47"/>
      <c r="C18" s="47"/>
      <c r="D18" s="48"/>
      <c r="E18" s="11">
        <f>SUM(E17,E16,E11)</f>
        <v>14.103599999999997</v>
      </c>
      <c r="G18" s="46" t="s">
        <v>14</v>
      </c>
      <c r="H18" s="47"/>
      <c r="I18" s="47"/>
      <c r="J18" s="48"/>
      <c r="K18" s="11">
        <f>SUM(K17,K16,K11)</f>
        <v>16.0839</v>
      </c>
    </row>
    <row r="19" spans="1:11" ht="15.75" x14ac:dyDescent="0.25">
      <c r="A19" s="52" t="s">
        <v>16</v>
      </c>
      <c r="B19" s="53"/>
      <c r="C19" s="53"/>
      <c r="D19" s="54"/>
      <c r="E19" s="25">
        <f>(E20-E18)/E18</f>
        <v>4.6723106157293186</v>
      </c>
      <c r="G19" s="52" t="s">
        <v>16</v>
      </c>
      <c r="H19" s="53"/>
      <c r="I19" s="53"/>
      <c r="J19" s="54"/>
      <c r="K19" s="25">
        <f>(K20-K18)/K18</f>
        <v>3.9739180173962785</v>
      </c>
    </row>
    <row r="20" spans="1:11" ht="18.75" x14ac:dyDescent="0.25">
      <c r="A20" s="44" t="s">
        <v>17</v>
      </c>
      <c r="B20" s="44"/>
      <c r="C20" s="44"/>
      <c r="D20" s="44"/>
      <c r="E20" s="11">
        <v>80</v>
      </c>
      <c r="G20" s="44" t="s">
        <v>17</v>
      </c>
      <c r="H20" s="44"/>
      <c r="I20" s="44"/>
      <c r="J20" s="44"/>
      <c r="K20" s="11">
        <v>80</v>
      </c>
    </row>
    <row r="22" spans="1:11" x14ac:dyDescent="0.25">
      <c r="A22" s="27" t="s">
        <v>89</v>
      </c>
      <c r="B22" s="28"/>
      <c r="C22" s="28"/>
      <c r="D22" s="35"/>
      <c r="G22" s="27" t="s">
        <v>89</v>
      </c>
      <c r="H22" s="28"/>
      <c r="I22" s="28"/>
      <c r="J22" s="35"/>
    </row>
    <row r="23" spans="1:11" x14ac:dyDescent="0.25">
      <c r="A23" s="3" t="s">
        <v>94</v>
      </c>
      <c r="G23" s="3" t="s">
        <v>94</v>
      </c>
    </row>
  </sheetData>
  <mergeCells count="14">
    <mergeCell ref="A20:D20"/>
    <mergeCell ref="G1:K2"/>
    <mergeCell ref="G11:J11"/>
    <mergeCell ref="G16:J16"/>
    <mergeCell ref="G17:J17"/>
    <mergeCell ref="G18:J18"/>
    <mergeCell ref="G19:J19"/>
    <mergeCell ref="G20:J20"/>
    <mergeCell ref="A1:E2"/>
    <mergeCell ref="A11:D11"/>
    <mergeCell ref="A16:D16"/>
    <mergeCell ref="A17:D17"/>
    <mergeCell ref="A18:D18"/>
    <mergeCell ref="A19:D19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21"/>
  <sheetViews>
    <sheetView workbookViewId="0">
      <selection activeCell="E8" sqref="E8"/>
    </sheetView>
  </sheetViews>
  <sheetFormatPr defaultRowHeight="15" x14ac:dyDescent="0.25"/>
  <cols>
    <col min="1" max="1" width="24.85546875" bestFit="1" customWidth="1"/>
    <col min="2" max="2" width="11.42578125" bestFit="1" customWidth="1"/>
    <col min="3" max="3" width="8.5703125" bestFit="1" customWidth="1"/>
    <col min="4" max="4" width="13.85546875" bestFit="1" customWidth="1"/>
    <col min="5" max="5" width="18.140625" bestFit="1" customWidth="1"/>
  </cols>
  <sheetData>
    <row r="1" spans="1:5" x14ac:dyDescent="0.25">
      <c r="A1" s="45" t="s">
        <v>82</v>
      </c>
      <c r="B1" s="45"/>
      <c r="C1" s="45"/>
      <c r="D1" s="45"/>
      <c r="E1" s="45"/>
    </row>
    <row r="2" spans="1:5" x14ac:dyDescent="0.25">
      <c r="A2" s="45"/>
      <c r="B2" s="45"/>
      <c r="C2" s="45"/>
      <c r="D2" s="45"/>
      <c r="E2" s="45"/>
    </row>
    <row r="3" spans="1:5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</row>
    <row r="4" spans="1:5" x14ac:dyDescent="0.25">
      <c r="A4" s="5" t="s">
        <v>79</v>
      </c>
      <c r="B4" s="1">
        <v>0</v>
      </c>
      <c r="C4" s="1" t="s">
        <v>10</v>
      </c>
      <c r="D4" s="4">
        <v>26.93</v>
      </c>
      <c r="E4" s="4">
        <v>4.4800000000000004</v>
      </c>
    </row>
    <row r="5" spans="1:5" x14ac:dyDescent="0.25">
      <c r="A5" s="3" t="s">
        <v>11</v>
      </c>
      <c r="B5" s="1">
        <v>2</v>
      </c>
      <c r="C5" s="1" t="s">
        <v>10</v>
      </c>
      <c r="D5" s="4">
        <v>0.04</v>
      </c>
      <c r="E5" s="4">
        <f t="shared" ref="E5" si="0">B5*D5</f>
        <v>0.08</v>
      </c>
    </row>
    <row r="6" spans="1:5" x14ac:dyDescent="0.25">
      <c r="A6" s="3" t="s">
        <v>80</v>
      </c>
      <c r="B6" s="1">
        <v>1</v>
      </c>
      <c r="C6" s="1" t="s">
        <v>4</v>
      </c>
      <c r="D6" s="4">
        <v>1.27</v>
      </c>
      <c r="E6" s="4">
        <f>B6*D6</f>
        <v>1.27</v>
      </c>
    </row>
    <row r="7" spans="1:5" x14ac:dyDescent="0.25">
      <c r="A7" s="3" t="s">
        <v>81</v>
      </c>
      <c r="B7" s="1">
        <v>1</v>
      </c>
      <c r="C7" s="1" t="s">
        <v>4</v>
      </c>
      <c r="D7" s="4">
        <v>0.09</v>
      </c>
      <c r="E7" s="4">
        <f>B7*D7</f>
        <v>0.09</v>
      </c>
    </row>
    <row r="8" spans="1:5" x14ac:dyDescent="0.25">
      <c r="A8" s="3" t="s">
        <v>18</v>
      </c>
      <c r="B8" s="1">
        <v>1</v>
      </c>
      <c r="C8" s="1" t="s">
        <v>4</v>
      </c>
      <c r="D8" s="4">
        <v>0.69</v>
      </c>
      <c r="E8" s="4">
        <f>B8*D8</f>
        <v>0.69</v>
      </c>
    </row>
    <row r="9" spans="1:5" x14ac:dyDescent="0.25">
      <c r="A9" s="3"/>
      <c r="B9" s="1"/>
      <c r="C9" s="1"/>
      <c r="D9" s="4"/>
      <c r="E9" s="4"/>
    </row>
    <row r="10" spans="1:5" ht="18.75" x14ac:dyDescent="0.25">
      <c r="A10" s="46" t="s">
        <v>12</v>
      </c>
      <c r="B10" s="47"/>
      <c r="C10" s="47"/>
      <c r="D10" s="48"/>
      <c r="E10" s="11">
        <f>SUM(E4:E9)</f>
        <v>6.6099999999999994</v>
      </c>
    </row>
    <row r="11" spans="1:5" ht="18.75" x14ac:dyDescent="0.25">
      <c r="A11" s="10"/>
      <c r="B11" s="10"/>
      <c r="C11" s="10"/>
      <c r="D11" s="11"/>
      <c r="E11" s="11"/>
    </row>
    <row r="12" spans="1:5" x14ac:dyDescent="0.25">
      <c r="A12" s="3"/>
      <c r="B12" s="3"/>
      <c r="C12" s="1"/>
      <c r="D12" s="4"/>
      <c r="E12" s="4"/>
    </row>
    <row r="13" spans="1:5" x14ac:dyDescent="0.25">
      <c r="A13" s="3" t="s">
        <v>40</v>
      </c>
      <c r="B13" s="3">
        <v>1</v>
      </c>
      <c r="C13" s="1" t="s">
        <v>13</v>
      </c>
      <c r="D13" s="4">
        <v>2</v>
      </c>
      <c r="E13" s="4">
        <f t="shared" ref="E13" si="1">B13*D13</f>
        <v>2</v>
      </c>
    </row>
    <row r="14" spans="1:5" x14ac:dyDescent="0.25">
      <c r="A14" s="3"/>
      <c r="B14" s="3"/>
      <c r="C14" s="1"/>
      <c r="D14" s="4"/>
      <c r="E14" s="4"/>
    </row>
    <row r="15" spans="1:5" ht="18.75" x14ac:dyDescent="0.25">
      <c r="A15" s="46" t="s">
        <v>15</v>
      </c>
      <c r="B15" s="47"/>
      <c r="C15" s="47"/>
      <c r="D15" s="48"/>
      <c r="E15" s="11">
        <f>SUM(E12:E14)</f>
        <v>2</v>
      </c>
    </row>
    <row r="16" spans="1:5" ht="15.75" x14ac:dyDescent="0.25">
      <c r="A16" s="49" t="s">
        <v>41</v>
      </c>
      <c r="B16" s="50"/>
      <c r="C16" s="50"/>
      <c r="D16" s="51"/>
      <c r="E16" s="13">
        <f>SUM(E15,E10)*61%</f>
        <v>5.2520999999999995</v>
      </c>
    </row>
    <row r="17" spans="1:6" ht="18.75" x14ac:dyDescent="0.25">
      <c r="A17" s="46" t="s">
        <v>14</v>
      </c>
      <c r="B17" s="47"/>
      <c r="C17" s="47"/>
      <c r="D17" s="48"/>
      <c r="E17" s="11">
        <f>SUM(E16,E15,E10)</f>
        <v>13.862099999999998</v>
      </c>
    </row>
    <row r="18" spans="1:6" ht="15.75" x14ac:dyDescent="0.25">
      <c r="A18" s="52" t="s">
        <v>16</v>
      </c>
      <c r="B18" s="53"/>
      <c r="C18" s="53"/>
      <c r="D18" s="54"/>
      <c r="E18" s="25">
        <f>(E19-E17)/E17</f>
        <v>3.32834851862272</v>
      </c>
    </row>
    <row r="19" spans="1:6" ht="18.75" x14ac:dyDescent="0.25">
      <c r="A19" s="44" t="s">
        <v>17</v>
      </c>
      <c r="B19" s="44"/>
      <c r="C19" s="44"/>
      <c r="D19" s="44"/>
      <c r="E19" s="11">
        <v>60</v>
      </c>
      <c r="F19" s="24"/>
    </row>
    <row r="21" spans="1:6" x14ac:dyDescent="0.25">
      <c r="A21" s="27" t="s">
        <v>93</v>
      </c>
      <c r="B21" s="35"/>
    </row>
  </sheetData>
  <sortState xmlns:xlrd2="http://schemas.microsoft.com/office/spreadsheetml/2017/richdata2" ref="A6:E9">
    <sortCondition ref="A5"/>
  </sortState>
  <mergeCells count="7">
    <mergeCell ref="A19:D19"/>
    <mergeCell ref="A1:E2"/>
    <mergeCell ref="A10:D10"/>
    <mergeCell ref="A15:D15"/>
    <mergeCell ref="A16:D16"/>
    <mergeCell ref="A17:D17"/>
    <mergeCell ref="A18:D18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K43"/>
  <sheetViews>
    <sheetView workbookViewId="0">
      <selection activeCell="K15" sqref="K15"/>
    </sheetView>
  </sheetViews>
  <sheetFormatPr defaultRowHeight="15" x14ac:dyDescent="0.25"/>
  <cols>
    <col min="1" max="1" width="24.85546875" bestFit="1" customWidth="1"/>
    <col min="2" max="2" width="11.42578125" bestFit="1" customWidth="1"/>
    <col min="3" max="3" width="8.5703125" bestFit="1" customWidth="1"/>
    <col min="4" max="4" width="13.85546875" bestFit="1" customWidth="1"/>
    <col min="5" max="5" width="18.140625" bestFit="1" customWidth="1"/>
    <col min="7" max="7" width="24.85546875" bestFit="1" customWidth="1"/>
    <col min="10" max="10" width="13.85546875" bestFit="1" customWidth="1"/>
    <col min="11" max="11" width="14.5703125" bestFit="1" customWidth="1"/>
  </cols>
  <sheetData>
    <row r="1" spans="1:5" x14ac:dyDescent="0.25">
      <c r="A1" s="45" t="s">
        <v>83</v>
      </c>
      <c r="B1" s="45"/>
      <c r="C1" s="45"/>
      <c r="D1" s="45"/>
      <c r="E1" s="45"/>
    </row>
    <row r="2" spans="1:5" x14ac:dyDescent="0.25">
      <c r="A2" s="45"/>
      <c r="B2" s="45"/>
      <c r="C2" s="45"/>
      <c r="D2" s="45"/>
      <c r="E2" s="45"/>
    </row>
    <row r="3" spans="1:5" x14ac:dyDescent="0.25">
      <c r="A3" s="2" t="s">
        <v>7</v>
      </c>
      <c r="B3" s="2" t="s">
        <v>3</v>
      </c>
      <c r="C3" s="2" t="s">
        <v>4</v>
      </c>
      <c r="D3" s="2" t="s">
        <v>6</v>
      </c>
      <c r="E3" s="2" t="s">
        <v>5</v>
      </c>
    </row>
    <row r="4" spans="1:5" x14ac:dyDescent="0.25">
      <c r="A4" s="5" t="s">
        <v>37</v>
      </c>
      <c r="B4" s="1">
        <v>0</v>
      </c>
      <c r="C4" s="1" t="s">
        <v>10</v>
      </c>
      <c r="D4" s="4">
        <v>10.16</v>
      </c>
      <c r="E4" s="4">
        <v>1.39</v>
      </c>
    </row>
    <row r="5" spans="1:5" x14ac:dyDescent="0.25">
      <c r="A5" s="3" t="s">
        <v>11</v>
      </c>
      <c r="B5" s="1">
        <v>1</v>
      </c>
      <c r="C5" s="1" t="s">
        <v>10</v>
      </c>
      <c r="D5" s="4">
        <v>0.04</v>
      </c>
      <c r="E5" s="4">
        <f t="shared" ref="E5" si="0">B5*D5</f>
        <v>0.04</v>
      </c>
    </row>
    <row r="6" spans="1:5" x14ac:dyDescent="0.25">
      <c r="A6" s="3" t="s">
        <v>80</v>
      </c>
      <c r="B6" s="1">
        <v>1</v>
      </c>
      <c r="C6" s="1" t="s">
        <v>4</v>
      </c>
      <c r="D6" s="4">
        <v>1.27</v>
      </c>
      <c r="E6" s="4">
        <f>B6*D6</f>
        <v>1.27</v>
      </c>
    </row>
    <row r="7" spans="1:5" x14ac:dyDescent="0.25">
      <c r="A7" s="3" t="s">
        <v>81</v>
      </c>
      <c r="B7" s="1">
        <v>1</v>
      </c>
      <c r="C7" s="1" t="s">
        <v>4</v>
      </c>
      <c r="D7" s="4">
        <v>0.09</v>
      </c>
      <c r="E7" s="4">
        <f>B7*D7</f>
        <v>0.09</v>
      </c>
    </row>
    <row r="8" spans="1:5" x14ac:dyDescent="0.25">
      <c r="A8" s="3" t="s">
        <v>18</v>
      </c>
      <c r="B8" s="1">
        <v>1</v>
      </c>
      <c r="C8" s="1" t="s">
        <v>4</v>
      </c>
      <c r="D8" s="4">
        <v>0.69</v>
      </c>
      <c r="E8" s="4">
        <f>B8*D8</f>
        <v>0.69</v>
      </c>
    </row>
    <row r="9" spans="1:5" x14ac:dyDescent="0.25">
      <c r="A9" s="3"/>
      <c r="B9" s="1"/>
      <c r="C9" s="1"/>
      <c r="D9" s="4"/>
      <c r="E9" s="4"/>
    </row>
    <row r="10" spans="1:5" ht="18.75" x14ac:dyDescent="0.25">
      <c r="A10" s="46" t="s">
        <v>12</v>
      </c>
      <c r="B10" s="47"/>
      <c r="C10" s="47"/>
      <c r="D10" s="48"/>
      <c r="E10" s="11">
        <f>SUM(E4:E9)</f>
        <v>3.48</v>
      </c>
    </row>
    <row r="11" spans="1:5" ht="18.75" x14ac:dyDescent="0.25">
      <c r="A11" s="10"/>
      <c r="B11" s="10"/>
      <c r="C11" s="10"/>
      <c r="D11" s="11"/>
      <c r="E11" s="11"/>
    </row>
    <row r="12" spans="1:5" x14ac:dyDescent="0.25">
      <c r="A12" s="3"/>
      <c r="B12" s="3"/>
      <c r="C12" s="1"/>
      <c r="D12" s="4"/>
      <c r="E12" s="4"/>
    </row>
    <row r="13" spans="1:5" x14ac:dyDescent="0.25">
      <c r="A13" s="3" t="s">
        <v>40</v>
      </c>
      <c r="B13" s="3">
        <v>1</v>
      </c>
      <c r="C13" s="1" t="s">
        <v>13</v>
      </c>
      <c r="D13" s="4">
        <v>2</v>
      </c>
      <c r="E13" s="4">
        <f t="shared" ref="E13" si="1">B13*D13</f>
        <v>2</v>
      </c>
    </row>
    <row r="14" spans="1:5" x14ac:dyDescent="0.25">
      <c r="A14" s="3"/>
      <c r="B14" s="3"/>
      <c r="C14" s="1"/>
      <c r="D14" s="4"/>
      <c r="E14" s="4"/>
    </row>
    <row r="15" spans="1:5" ht="18.75" x14ac:dyDescent="0.25">
      <c r="A15" s="46" t="s">
        <v>15</v>
      </c>
      <c r="B15" s="47"/>
      <c r="C15" s="47"/>
      <c r="D15" s="48"/>
      <c r="E15" s="11">
        <f>SUM(E12:E14)</f>
        <v>2</v>
      </c>
    </row>
    <row r="16" spans="1:5" ht="15.75" x14ac:dyDescent="0.25">
      <c r="A16" s="49" t="s">
        <v>41</v>
      </c>
      <c r="B16" s="50"/>
      <c r="C16" s="50"/>
      <c r="D16" s="51"/>
      <c r="E16" s="13">
        <f>SUM(E15,E10)*61%</f>
        <v>3.3428</v>
      </c>
    </row>
    <row r="17" spans="1:11" ht="18.75" x14ac:dyDescent="0.25">
      <c r="A17" s="46" t="s">
        <v>14</v>
      </c>
      <c r="B17" s="47"/>
      <c r="C17" s="47"/>
      <c r="D17" s="48"/>
      <c r="E17" s="11">
        <f>SUM(E16,E15,E10)</f>
        <v>8.8228000000000009</v>
      </c>
    </row>
    <row r="18" spans="1:11" ht="15.75" x14ac:dyDescent="0.25">
      <c r="A18" s="52" t="s">
        <v>16</v>
      </c>
      <c r="B18" s="53"/>
      <c r="C18" s="53"/>
      <c r="D18" s="54"/>
      <c r="E18" s="25">
        <f>(E19-E17)/E17</f>
        <v>5.2338486648229585</v>
      </c>
    </row>
    <row r="19" spans="1:11" ht="18.75" x14ac:dyDescent="0.25">
      <c r="A19" s="44" t="s">
        <v>17</v>
      </c>
      <c r="B19" s="44"/>
      <c r="C19" s="44"/>
      <c r="D19" s="44"/>
      <c r="E19" s="11">
        <v>55</v>
      </c>
      <c r="F19" s="24"/>
    </row>
    <row r="21" spans="1:11" x14ac:dyDescent="0.25">
      <c r="A21" s="27" t="s">
        <v>89</v>
      </c>
      <c r="B21" s="28"/>
      <c r="C21" s="28"/>
      <c r="D21" s="35"/>
    </row>
    <row r="22" spans="1:11" x14ac:dyDescent="0.25">
      <c r="A22" s="3" t="s">
        <v>95</v>
      </c>
    </row>
    <row r="24" spans="1:11" x14ac:dyDescent="0.25">
      <c r="K24" s="41">
        <v>45191</v>
      </c>
    </row>
    <row r="25" spans="1:11" x14ac:dyDescent="0.25">
      <c r="A25" s="45" t="s">
        <v>131</v>
      </c>
      <c r="B25" s="45"/>
      <c r="C25" s="45"/>
      <c r="D25" s="45"/>
      <c r="E25" s="45"/>
      <c r="G25" s="45" t="s">
        <v>135</v>
      </c>
      <c r="H25" s="45"/>
      <c r="I25" s="45"/>
      <c r="J25" s="45"/>
      <c r="K25" s="45"/>
    </row>
    <row r="26" spans="1:11" x14ac:dyDescent="0.25">
      <c r="A26" s="45"/>
      <c r="B26" s="45"/>
      <c r="C26" s="45"/>
      <c r="D26" s="45"/>
      <c r="E26" s="45"/>
      <c r="G26" s="45"/>
      <c r="H26" s="45"/>
      <c r="I26" s="45"/>
      <c r="J26" s="45"/>
      <c r="K26" s="45"/>
    </row>
    <row r="27" spans="1:11" x14ac:dyDescent="0.25">
      <c r="A27" s="2" t="s">
        <v>7</v>
      </c>
      <c r="B27" s="2" t="s">
        <v>3</v>
      </c>
      <c r="C27" s="2" t="s">
        <v>4</v>
      </c>
      <c r="D27" s="2" t="s">
        <v>6</v>
      </c>
      <c r="E27" s="2" t="s">
        <v>5</v>
      </c>
      <c r="G27" s="2" t="s">
        <v>7</v>
      </c>
      <c r="H27" s="2" t="s">
        <v>3</v>
      </c>
      <c r="I27" s="2" t="s">
        <v>4</v>
      </c>
      <c r="J27" s="2" t="s">
        <v>6</v>
      </c>
      <c r="K27" s="2" t="s">
        <v>5</v>
      </c>
    </row>
    <row r="28" spans="1:11" x14ac:dyDescent="0.25">
      <c r="A28" s="5" t="s">
        <v>37</v>
      </c>
      <c r="B28" s="1">
        <v>1.89</v>
      </c>
      <c r="C28" s="1" t="s">
        <v>10</v>
      </c>
      <c r="D28" s="4">
        <v>10.16</v>
      </c>
      <c r="E28" s="4">
        <f>B28*D28</f>
        <v>19.202400000000001</v>
      </c>
      <c r="G28" s="5" t="s">
        <v>136</v>
      </c>
      <c r="H28" s="1">
        <v>2</v>
      </c>
      <c r="I28" s="1" t="s">
        <v>10</v>
      </c>
      <c r="J28" s="4">
        <v>28.9</v>
      </c>
      <c r="K28" s="4">
        <f>H28*J28</f>
        <v>57.8</v>
      </c>
    </row>
    <row r="29" spans="1:11" x14ac:dyDescent="0.25">
      <c r="A29" s="3" t="s">
        <v>11</v>
      </c>
      <c r="B29" s="1">
        <v>10</v>
      </c>
      <c r="C29" s="1" t="s">
        <v>10</v>
      </c>
      <c r="D29" s="4">
        <v>0.04</v>
      </c>
      <c r="E29" s="4">
        <f t="shared" ref="E29" si="2">B29*D29</f>
        <v>0.4</v>
      </c>
      <c r="G29" s="3" t="s">
        <v>11</v>
      </c>
      <c r="H29" s="1">
        <v>10</v>
      </c>
      <c r="I29" s="1" t="s">
        <v>10</v>
      </c>
      <c r="J29" s="4">
        <v>0.04</v>
      </c>
      <c r="K29" s="4">
        <f t="shared" ref="K29" si="3">H29*J29</f>
        <v>0.4</v>
      </c>
    </row>
    <row r="30" spans="1:11" x14ac:dyDescent="0.25">
      <c r="A30" s="3" t="s">
        <v>43</v>
      </c>
      <c r="B30" s="1">
        <v>1</v>
      </c>
      <c r="C30" s="1" t="s">
        <v>4</v>
      </c>
      <c r="D30" s="4">
        <v>5.33</v>
      </c>
      <c r="E30" s="4">
        <f>B30*D30</f>
        <v>5.33</v>
      </c>
      <c r="G30" s="3" t="s">
        <v>43</v>
      </c>
      <c r="H30" s="1">
        <v>1</v>
      </c>
      <c r="I30" s="1" t="s">
        <v>4</v>
      </c>
      <c r="J30" s="4">
        <f>2.11+2.2</f>
        <v>4.3100000000000005</v>
      </c>
      <c r="K30" s="4">
        <f>H30*J30</f>
        <v>4.3100000000000005</v>
      </c>
    </row>
    <row r="31" spans="1:11" x14ac:dyDescent="0.25">
      <c r="A31" s="3" t="s">
        <v>84</v>
      </c>
      <c r="B31" s="1">
        <v>1</v>
      </c>
      <c r="C31" s="1" t="s">
        <v>4</v>
      </c>
      <c r="D31" s="4">
        <v>0.19</v>
      </c>
      <c r="E31" s="4">
        <f>B31*D31</f>
        <v>0.19</v>
      </c>
      <c r="G31" s="3" t="s">
        <v>84</v>
      </c>
      <c r="H31" s="1">
        <v>1</v>
      </c>
      <c r="I31" s="1" t="s">
        <v>4</v>
      </c>
      <c r="J31" s="4">
        <v>0.12</v>
      </c>
      <c r="K31" s="4">
        <f>H31*J31</f>
        <v>0.12</v>
      </c>
    </row>
    <row r="32" spans="1:11" x14ac:dyDescent="0.25">
      <c r="A32" s="3" t="s">
        <v>18</v>
      </c>
      <c r="B32" s="1">
        <v>1</v>
      </c>
      <c r="C32" s="1" t="s">
        <v>4</v>
      </c>
      <c r="D32" s="4">
        <v>0.67</v>
      </c>
      <c r="E32" s="4">
        <f>B32*D32</f>
        <v>0.67</v>
      </c>
      <c r="G32" s="3" t="s">
        <v>18</v>
      </c>
      <c r="H32" s="1">
        <v>1</v>
      </c>
      <c r="I32" s="1" t="s">
        <v>4</v>
      </c>
      <c r="J32" s="4">
        <v>0.64</v>
      </c>
      <c r="K32" s="4">
        <f>H32*J32</f>
        <v>0.64</v>
      </c>
    </row>
    <row r="33" spans="1:11" x14ac:dyDescent="0.25">
      <c r="A33" s="3" t="s">
        <v>85</v>
      </c>
      <c r="B33" s="1">
        <v>1</v>
      </c>
      <c r="C33" s="1" t="s">
        <v>86</v>
      </c>
      <c r="D33" s="4">
        <v>0.36</v>
      </c>
      <c r="E33" s="4">
        <f>B33*D33</f>
        <v>0.36</v>
      </c>
      <c r="G33" s="3" t="s">
        <v>85</v>
      </c>
      <c r="H33" s="1">
        <v>1</v>
      </c>
      <c r="I33" s="1" t="s">
        <v>86</v>
      </c>
      <c r="J33" s="4">
        <v>0.31</v>
      </c>
      <c r="K33" s="4">
        <f>H33*J33</f>
        <v>0.31</v>
      </c>
    </row>
    <row r="34" spans="1:11" ht="18.75" x14ac:dyDescent="0.25">
      <c r="A34" s="46" t="s">
        <v>12</v>
      </c>
      <c r="B34" s="47"/>
      <c r="C34" s="47"/>
      <c r="D34" s="48"/>
      <c r="E34" s="11">
        <f>SUM(E28:E33)</f>
        <v>26.152400000000004</v>
      </c>
      <c r="G34" s="46" t="s">
        <v>12</v>
      </c>
      <c r="H34" s="47"/>
      <c r="I34" s="47"/>
      <c r="J34" s="48"/>
      <c r="K34" s="11">
        <f>SUM(K28:K33)</f>
        <v>63.58</v>
      </c>
    </row>
    <row r="35" spans="1:11" ht="18.75" x14ac:dyDescent="0.25">
      <c r="A35" s="10"/>
      <c r="B35" s="10"/>
      <c r="C35" s="10"/>
      <c r="D35" s="11"/>
      <c r="E35" s="11"/>
      <c r="G35" s="10"/>
      <c r="H35" s="10"/>
      <c r="I35" s="10"/>
      <c r="J35" s="11"/>
      <c r="K35" s="11"/>
    </row>
    <row r="36" spans="1:11" x14ac:dyDescent="0.25">
      <c r="A36" s="3"/>
      <c r="B36" s="3"/>
      <c r="C36" s="1"/>
      <c r="D36" s="4"/>
      <c r="E36" s="4"/>
      <c r="G36" s="3"/>
      <c r="H36" s="3"/>
      <c r="I36" s="1"/>
      <c r="J36" s="4"/>
      <c r="K36" s="4"/>
    </row>
    <row r="37" spans="1:11" x14ac:dyDescent="0.25">
      <c r="A37" s="3" t="s">
        <v>40</v>
      </c>
      <c r="B37" s="3">
        <v>1</v>
      </c>
      <c r="C37" s="1" t="s">
        <v>13</v>
      </c>
      <c r="D37" s="4">
        <v>14</v>
      </c>
      <c r="E37" s="4">
        <f t="shared" ref="E37" si="4">B37*D37</f>
        <v>14</v>
      </c>
      <c r="G37" s="3" t="s">
        <v>40</v>
      </c>
      <c r="H37" s="3">
        <v>1</v>
      </c>
      <c r="I37" s="1" t="s">
        <v>13</v>
      </c>
      <c r="J37" s="4">
        <v>14</v>
      </c>
      <c r="K37" s="4">
        <f t="shared" ref="K37" si="5">H37*J37</f>
        <v>14</v>
      </c>
    </row>
    <row r="38" spans="1:11" x14ac:dyDescent="0.25">
      <c r="A38" s="3"/>
      <c r="B38" s="3"/>
      <c r="C38" s="1"/>
      <c r="D38" s="4"/>
      <c r="E38" s="4"/>
      <c r="G38" s="3"/>
      <c r="H38" s="3"/>
      <c r="I38" s="1"/>
      <c r="J38" s="4"/>
      <c r="K38" s="4"/>
    </row>
    <row r="39" spans="1:11" ht="18.75" x14ac:dyDescent="0.25">
      <c r="A39" s="46" t="s">
        <v>15</v>
      </c>
      <c r="B39" s="47"/>
      <c r="C39" s="47"/>
      <c r="D39" s="48"/>
      <c r="E39" s="11">
        <f>SUM(E36:E38)</f>
        <v>14</v>
      </c>
      <c r="G39" s="46" t="s">
        <v>15</v>
      </c>
      <c r="H39" s="47"/>
      <c r="I39" s="47"/>
      <c r="J39" s="48"/>
      <c r="K39" s="11">
        <f>SUM(K36:K38)</f>
        <v>14</v>
      </c>
    </row>
    <row r="40" spans="1:11" ht="15.75" x14ac:dyDescent="0.25">
      <c r="A40" s="49" t="s">
        <v>41</v>
      </c>
      <c r="B40" s="50"/>
      <c r="C40" s="50"/>
      <c r="D40" s="51"/>
      <c r="E40" s="13">
        <f>SUM(E39,E34)*61%</f>
        <v>24.492964000000001</v>
      </c>
      <c r="G40" s="49" t="s">
        <v>41</v>
      </c>
      <c r="H40" s="50"/>
      <c r="I40" s="50"/>
      <c r="J40" s="51"/>
      <c r="K40" s="13">
        <f>SUM(K39,K34)*61%</f>
        <v>47.323799999999999</v>
      </c>
    </row>
    <row r="41" spans="1:11" ht="18.75" x14ac:dyDescent="0.25">
      <c r="A41" s="46" t="s">
        <v>14</v>
      </c>
      <c r="B41" s="47"/>
      <c r="C41" s="47"/>
      <c r="D41" s="48"/>
      <c r="E41" s="11">
        <f>SUM(E40,E39,E34)</f>
        <v>64.645364000000001</v>
      </c>
      <c r="G41" s="46" t="s">
        <v>14</v>
      </c>
      <c r="H41" s="47"/>
      <c r="I41" s="47"/>
      <c r="J41" s="48"/>
      <c r="K41" s="11">
        <f>SUM(K40,K39,K34)</f>
        <v>124.90379999999999</v>
      </c>
    </row>
    <row r="42" spans="1:11" ht="15.75" x14ac:dyDescent="0.25">
      <c r="A42" s="52" t="s">
        <v>16</v>
      </c>
      <c r="B42" s="53"/>
      <c r="C42" s="53"/>
      <c r="D42" s="54"/>
      <c r="E42" s="25">
        <f>(E43-E41)/E41</f>
        <v>1.3203520054431126</v>
      </c>
      <c r="G42" s="52" t="s">
        <v>16</v>
      </c>
      <c r="H42" s="53"/>
      <c r="I42" s="53"/>
      <c r="J42" s="54"/>
      <c r="K42" s="25">
        <f>(K43-K41)/K41</f>
        <v>0.28098584670762627</v>
      </c>
    </row>
    <row r="43" spans="1:11" ht="18.75" x14ac:dyDescent="0.25">
      <c r="A43" s="44" t="s">
        <v>108</v>
      </c>
      <c r="B43" s="44"/>
      <c r="C43" s="44"/>
      <c r="D43" s="44"/>
      <c r="E43" s="11">
        <v>150</v>
      </c>
      <c r="G43" s="44" t="s">
        <v>108</v>
      </c>
      <c r="H43" s="44"/>
      <c r="I43" s="44"/>
      <c r="J43" s="44"/>
      <c r="K43" s="11">
        <v>160</v>
      </c>
    </row>
  </sheetData>
  <sortState xmlns:xlrd2="http://schemas.microsoft.com/office/spreadsheetml/2017/richdata2" ref="A6:E9">
    <sortCondition ref="A5"/>
  </sortState>
  <mergeCells count="21">
    <mergeCell ref="G42:J42"/>
    <mergeCell ref="G43:J43"/>
    <mergeCell ref="G25:K26"/>
    <mergeCell ref="G34:J34"/>
    <mergeCell ref="G39:J39"/>
    <mergeCell ref="G40:J40"/>
    <mergeCell ref="G41:J41"/>
    <mergeCell ref="A19:D19"/>
    <mergeCell ref="A1:E2"/>
    <mergeCell ref="A10:D10"/>
    <mergeCell ref="A15:D15"/>
    <mergeCell ref="A16:D16"/>
    <mergeCell ref="A17:D17"/>
    <mergeCell ref="A18:D18"/>
    <mergeCell ref="A42:D42"/>
    <mergeCell ref="A43:D43"/>
    <mergeCell ref="A25:E26"/>
    <mergeCell ref="A34:D34"/>
    <mergeCell ref="A39:D39"/>
    <mergeCell ref="A40:D40"/>
    <mergeCell ref="A41:D4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2:K42"/>
  <sheetViews>
    <sheetView workbookViewId="0">
      <selection activeCell="F21" sqref="F21"/>
    </sheetView>
  </sheetViews>
  <sheetFormatPr defaultRowHeight="15" x14ac:dyDescent="0.25"/>
  <cols>
    <col min="1" max="1" width="28.7109375" customWidth="1"/>
    <col min="2" max="2" width="11.42578125" bestFit="1" customWidth="1"/>
    <col min="4" max="4" width="9.5703125" bestFit="1" customWidth="1"/>
    <col min="5" max="5" width="13" bestFit="1" customWidth="1"/>
    <col min="7" max="7" width="33.85546875" bestFit="1" customWidth="1"/>
    <col min="8" max="8" width="11.42578125" bestFit="1" customWidth="1"/>
    <col min="10" max="10" width="13.85546875" bestFit="1" customWidth="1"/>
    <col min="11" max="11" width="13" bestFit="1" customWidth="1"/>
  </cols>
  <sheetData>
    <row r="2" spans="1:11" x14ac:dyDescent="0.25">
      <c r="A2" s="45" t="s">
        <v>143</v>
      </c>
      <c r="B2" s="45"/>
      <c r="C2" s="45"/>
      <c r="D2" s="45"/>
      <c r="E2" s="45"/>
      <c r="G2" s="45" t="s">
        <v>144</v>
      </c>
      <c r="H2" s="45"/>
      <c r="I2" s="45"/>
      <c r="J2" s="45"/>
      <c r="K2" s="45"/>
    </row>
    <row r="3" spans="1:11" x14ac:dyDescent="0.25">
      <c r="A3" s="45"/>
      <c r="B3" s="45"/>
      <c r="C3" s="45"/>
      <c r="D3" s="45"/>
      <c r="E3" s="45"/>
      <c r="G3" s="45"/>
      <c r="H3" s="45"/>
      <c r="I3" s="45"/>
      <c r="J3" s="45"/>
      <c r="K3" s="45"/>
    </row>
    <row r="4" spans="1:11" x14ac:dyDescent="0.25">
      <c r="A4" s="2" t="s">
        <v>7</v>
      </c>
      <c r="B4" s="2" t="s">
        <v>3</v>
      </c>
      <c r="C4" s="2" t="s">
        <v>4</v>
      </c>
      <c r="D4" s="2" t="s">
        <v>6</v>
      </c>
      <c r="E4" s="2" t="s">
        <v>5</v>
      </c>
      <c r="G4" s="2" t="s">
        <v>7</v>
      </c>
      <c r="H4" s="2" t="s">
        <v>3</v>
      </c>
      <c r="I4" s="2" t="s">
        <v>4</v>
      </c>
      <c r="J4" s="2" t="s">
        <v>6</v>
      </c>
      <c r="K4" s="2" t="s">
        <v>5</v>
      </c>
    </row>
    <row r="5" spans="1:11" x14ac:dyDescent="0.25">
      <c r="A5" s="5" t="s">
        <v>137</v>
      </c>
      <c r="B5" s="1">
        <v>1</v>
      </c>
      <c r="C5" s="1" t="s">
        <v>10</v>
      </c>
      <c r="D5" s="4">
        <v>10.16</v>
      </c>
      <c r="E5" s="4">
        <f t="shared" ref="E5:E7" si="0">B5*D5</f>
        <v>10.16</v>
      </c>
      <c r="G5" s="5" t="s">
        <v>137</v>
      </c>
      <c r="H5" s="1">
        <f>0.16666*4</f>
        <v>0.66664000000000001</v>
      </c>
      <c r="I5" s="1" t="s">
        <v>10</v>
      </c>
      <c r="J5" s="4">
        <v>10.16</v>
      </c>
      <c r="K5" s="4">
        <f t="shared" ref="K5:K7" si="1">H5*J5</f>
        <v>6.7730624000000006</v>
      </c>
    </row>
    <row r="6" spans="1:11" x14ac:dyDescent="0.25">
      <c r="A6" s="3" t="s">
        <v>140</v>
      </c>
      <c r="B6" s="1">
        <v>1</v>
      </c>
      <c r="C6" s="1" t="s">
        <v>4</v>
      </c>
      <c r="D6" s="4">
        <v>0.75</v>
      </c>
      <c r="E6" s="4">
        <f t="shared" si="0"/>
        <v>0.75</v>
      </c>
      <c r="G6" s="3" t="s">
        <v>140</v>
      </c>
      <c r="H6" s="1">
        <v>1</v>
      </c>
      <c r="I6" s="1" t="s">
        <v>4</v>
      </c>
      <c r="J6" s="4">
        <v>0.75</v>
      </c>
      <c r="K6" s="4">
        <f t="shared" si="1"/>
        <v>0.75</v>
      </c>
    </row>
    <row r="7" spans="1:11" x14ac:dyDescent="0.25">
      <c r="A7" s="3" t="s">
        <v>141</v>
      </c>
      <c r="B7" s="1">
        <v>1</v>
      </c>
      <c r="C7" s="1" t="s">
        <v>4</v>
      </c>
      <c r="D7" s="4">
        <v>0.75</v>
      </c>
      <c r="E7" s="4">
        <f t="shared" si="0"/>
        <v>0.75</v>
      </c>
      <c r="G7" s="3" t="s">
        <v>141</v>
      </c>
      <c r="H7" s="1">
        <v>1</v>
      </c>
      <c r="I7" s="1" t="s">
        <v>4</v>
      </c>
      <c r="J7" s="4">
        <v>0.75</v>
      </c>
      <c r="K7" s="4">
        <f t="shared" si="1"/>
        <v>0.75</v>
      </c>
    </row>
    <row r="8" spans="1:11" x14ac:dyDescent="0.25">
      <c r="A8" s="3"/>
      <c r="B8" s="1"/>
      <c r="C8" s="1"/>
      <c r="D8" s="4"/>
      <c r="E8" s="4"/>
      <c r="G8" s="3"/>
      <c r="H8" s="1"/>
      <c r="I8" s="1"/>
      <c r="J8" s="4"/>
      <c r="K8" s="4"/>
    </row>
    <row r="9" spans="1:11" x14ac:dyDescent="0.25">
      <c r="A9" s="3"/>
      <c r="B9" s="1"/>
      <c r="C9" s="1"/>
      <c r="D9" s="4"/>
      <c r="E9" s="4"/>
      <c r="G9" s="3"/>
      <c r="H9" s="1"/>
      <c r="I9" s="1"/>
      <c r="J9" s="4"/>
      <c r="K9" s="4"/>
    </row>
    <row r="10" spans="1:11" ht="18.75" x14ac:dyDescent="0.25">
      <c r="A10" s="46" t="s">
        <v>12</v>
      </c>
      <c r="B10" s="47"/>
      <c r="C10" s="47"/>
      <c r="D10" s="48"/>
      <c r="E10" s="11">
        <f>SUM(E4:E9)</f>
        <v>11.66</v>
      </c>
      <c r="G10" s="46" t="s">
        <v>12</v>
      </c>
      <c r="H10" s="47"/>
      <c r="I10" s="47"/>
      <c r="J10" s="48"/>
      <c r="K10" s="11">
        <f>SUM(K4:K9)</f>
        <v>8.2730624000000006</v>
      </c>
    </row>
    <row r="11" spans="1:11" ht="18.75" x14ac:dyDescent="0.25">
      <c r="A11" s="10"/>
      <c r="B11" s="10"/>
      <c r="C11" s="10"/>
      <c r="D11" s="11"/>
      <c r="E11" s="11"/>
      <c r="G11" s="10"/>
      <c r="H11" s="10"/>
      <c r="I11" s="10"/>
      <c r="J11" s="11"/>
      <c r="K11" s="11"/>
    </row>
    <row r="12" spans="1:11" x14ac:dyDescent="0.25">
      <c r="A12" s="3" t="s">
        <v>142</v>
      </c>
      <c r="B12" s="3"/>
      <c r="C12" s="1"/>
      <c r="D12" s="4"/>
      <c r="E12" s="4">
        <f>E19*4%</f>
        <v>1.996</v>
      </c>
      <c r="G12" s="3" t="s">
        <v>142</v>
      </c>
      <c r="H12" s="3"/>
      <c r="I12" s="1"/>
      <c r="J12" s="4"/>
      <c r="K12" s="4">
        <f>K19*4%</f>
        <v>1.3559999999999999</v>
      </c>
    </row>
    <row r="13" spans="1:11" x14ac:dyDescent="0.25">
      <c r="A13" s="3"/>
      <c r="B13" s="3"/>
      <c r="C13" s="1"/>
      <c r="D13" s="4"/>
      <c r="E13" s="4">
        <f t="shared" ref="E13" si="2">B13*D13</f>
        <v>0</v>
      </c>
      <c r="G13" s="3"/>
      <c r="H13" s="3"/>
      <c r="I13" s="1"/>
      <c r="J13" s="4"/>
      <c r="K13" s="4">
        <f t="shared" ref="K13" si="3">H13*J13</f>
        <v>0</v>
      </c>
    </row>
    <row r="14" spans="1:11" x14ac:dyDescent="0.25">
      <c r="A14" s="3"/>
      <c r="B14" s="3"/>
      <c r="C14" s="1"/>
      <c r="D14" s="4"/>
      <c r="E14" s="4"/>
      <c r="G14" s="3"/>
      <c r="H14" s="3"/>
      <c r="I14" s="1"/>
      <c r="J14" s="4"/>
      <c r="K14" s="4"/>
    </row>
    <row r="15" spans="1:11" ht="18.75" x14ac:dyDescent="0.25">
      <c r="A15" s="46" t="s">
        <v>15</v>
      </c>
      <c r="B15" s="47"/>
      <c r="C15" s="47"/>
      <c r="D15" s="48"/>
      <c r="E15" s="11">
        <f>SUM(E12:E14)</f>
        <v>1.996</v>
      </c>
      <c r="G15" s="46" t="s">
        <v>15</v>
      </c>
      <c r="H15" s="47"/>
      <c r="I15" s="47"/>
      <c r="J15" s="48"/>
      <c r="K15" s="11">
        <f>SUM(K12:K14)</f>
        <v>1.3559999999999999</v>
      </c>
    </row>
    <row r="16" spans="1:11" ht="15.75" x14ac:dyDescent="0.25">
      <c r="A16" s="49" t="s">
        <v>139</v>
      </c>
      <c r="B16" s="50"/>
      <c r="C16" s="50"/>
      <c r="D16" s="51"/>
      <c r="E16" s="13">
        <f>SUM(E15,E10)*61%</f>
        <v>8.3301599999999993</v>
      </c>
      <c r="G16" s="49" t="s">
        <v>139</v>
      </c>
      <c r="H16" s="50"/>
      <c r="I16" s="50"/>
      <c r="J16" s="51"/>
      <c r="K16" s="13">
        <f>SUM(K15,K10)*61%</f>
        <v>5.8737280639999998</v>
      </c>
    </row>
    <row r="17" spans="1:11" ht="18.75" x14ac:dyDescent="0.25">
      <c r="A17" s="46" t="s">
        <v>14</v>
      </c>
      <c r="B17" s="47"/>
      <c r="C17" s="47"/>
      <c r="D17" s="48"/>
      <c r="E17" s="11">
        <f>SUM(E16,E15,E10)</f>
        <v>21.986159999999998</v>
      </c>
      <c r="F17" s="42"/>
      <c r="G17" s="46" t="s">
        <v>14</v>
      </c>
      <c r="H17" s="47"/>
      <c r="I17" s="47"/>
      <c r="J17" s="48"/>
      <c r="K17" s="11">
        <f>SUM(K16,K15,K10)</f>
        <v>15.502790464</v>
      </c>
    </row>
    <row r="18" spans="1:11" ht="15.75" x14ac:dyDescent="0.25">
      <c r="A18" s="52" t="s">
        <v>16</v>
      </c>
      <c r="B18" s="53"/>
      <c r="C18" s="53"/>
      <c r="D18" s="54"/>
      <c r="E18" s="25">
        <f>(E19-E17)/E17</f>
        <v>1.2696096089539965</v>
      </c>
      <c r="G18" s="52" t="s">
        <v>16</v>
      </c>
      <c r="H18" s="53"/>
      <c r="I18" s="53"/>
      <c r="J18" s="54"/>
      <c r="K18" s="25">
        <f>(K19-K17)/K17</f>
        <v>1.1867031021751413</v>
      </c>
    </row>
    <row r="19" spans="1:11" ht="18.75" x14ac:dyDescent="0.25">
      <c r="A19" s="44" t="s">
        <v>17</v>
      </c>
      <c r="B19" s="44"/>
      <c r="C19" s="44"/>
      <c r="D19" s="44"/>
      <c r="E19" s="11">
        <v>49.9</v>
      </c>
      <c r="G19" s="44" t="s">
        <v>17</v>
      </c>
      <c r="H19" s="44"/>
      <c r="I19" s="44"/>
      <c r="J19" s="44"/>
      <c r="K19" s="11">
        <v>33.9</v>
      </c>
    </row>
    <row r="21" spans="1:11" x14ac:dyDescent="0.25">
      <c r="A21" s="37" t="s">
        <v>147</v>
      </c>
      <c r="B21" s="43"/>
    </row>
    <row r="22" spans="1:11" x14ac:dyDescent="0.25">
      <c r="A22" s="27" t="s">
        <v>138</v>
      </c>
      <c r="B22" s="35"/>
    </row>
    <row r="25" spans="1:11" x14ac:dyDescent="0.25">
      <c r="A25" s="45" t="s">
        <v>145</v>
      </c>
      <c r="B25" s="45"/>
      <c r="C25" s="45"/>
      <c r="D25" s="45"/>
      <c r="E25" s="45"/>
      <c r="G25" s="45" t="s">
        <v>146</v>
      </c>
      <c r="H25" s="45"/>
      <c r="I25" s="45"/>
      <c r="J25" s="45"/>
      <c r="K25" s="45"/>
    </row>
    <row r="26" spans="1:11" x14ac:dyDescent="0.25">
      <c r="A26" s="45"/>
      <c r="B26" s="45"/>
      <c r="C26" s="45"/>
      <c r="D26" s="45"/>
      <c r="E26" s="45"/>
      <c r="G26" s="45"/>
      <c r="H26" s="45"/>
      <c r="I26" s="45"/>
      <c r="J26" s="45"/>
      <c r="K26" s="45"/>
    </row>
    <row r="27" spans="1:11" x14ac:dyDescent="0.25">
      <c r="A27" s="2" t="s">
        <v>7</v>
      </c>
      <c r="B27" s="2" t="s">
        <v>3</v>
      </c>
      <c r="C27" s="2" t="s">
        <v>4</v>
      </c>
      <c r="D27" s="2" t="s">
        <v>6</v>
      </c>
      <c r="E27" s="2" t="s">
        <v>5</v>
      </c>
      <c r="G27" s="2" t="s">
        <v>7</v>
      </c>
      <c r="H27" s="2" t="s">
        <v>3</v>
      </c>
      <c r="I27" s="2" t="s">
        <v>4</v>
      </c>
      <c r="J27" s="2" t="s">
        <v>6</v>
      </c>
      <c r="K27" s="2" t="s">
        <v>5</v>
      </c>
    </row>
    <row r="28" spans="1:11" x14ac:dyDescent="0.25">
      <c r="A28" s="5" t="s">
        <v>137</v>
      </c>
      <c r="B28" s="1">
        <f>0.1666*8</f>
        <v>1.3328</v>
      </c>
      <c r="C28" s="1" t="s">
        <v>10</v>
      </c>
      <c r="D28" s="4">
        <v>10.16</v>
      </c>
      <c r="E28" s="4">
        <f t="shared" ref="E28:E30" si="4">B28*D28</f>
        <v>13.541248</v>
      </c>
      <c r="G28" s="5" t="s">
        <v>137</v>
      </c>
      <c r="H28" s="1">
        <f>0.1666*10</f>
        <v>1.6659999999999999</v>
      </c>
      <c r="I28" s="1" t="s">
        <v>10</v>
      </c>
      <c r="J28" s="4">
        <v>10.16</v>
      </c>
      <c r="K28" s="4">
        <f t="shared" ref="K28:K30" si="5">H28*J28</f>
        <v>16.926559999999998</v>
      </c>
    </row>
    <row r="29" spans="1:11" x14ac:dyDescent="0.25">
      <c r="A29" s="3" t="s">
        <v>140</v>
      </c>
      <c r="B29" s="1">
        <v>1</v>
      </c>
      <c r="C29" s="1" t="s">
        <v>4</v>
      </c>
      <c r="D29" s="4">
        <v>0.75</v>
      </c>
      <c r="E29" s="4">
        <f t="shared" si="4"/>
        <v>0.75</v>
      </c>
      <c r="G29" s="3" t="s">
        <v>140</v>
      </c>
      <c r="H29" s="1">
        <v>1</v>
      </c>
      <c r="I29" s="1" t="s">
        <v>4</v>
      </c>
      <c r="J29" s="4">
        <v>0.75</v>
      </c>
      <c r="K29" s="4">
        <f t="shared" si="5"/>
        <v>0.75</v>
      </c>
    </row>
    <row r="30" spans="1:11" x14ac:dyDescent="0.25">
      <c r="A30" s="3" t="s">
        <v>141</v>
      </c>
      <c r="B30" s="1">
        <v>1</v>
      </c>
      <c r="C30" s="1" t="s">
        <v>4</v>
      </c>
      <c r="D30" s="4">
        <v>0.75</v>
      </c>
      <c r="E30" s="4">
        <f t="shared" si="4"/>
        <v>0.75</v>
      </c>
      <c r="G30" s="3" t="s">
        <v>141</v>
      </c>
      <c r="H30" s="1">
        <v>1</v>
      </c>
      <c r="I30" s="1" t="s">
        <v>4</v>
      </c>
      <c r="J30" s="4">
        <v>0.75</v>
      </c>
      <c r="K30" s="4">
        <f t="shared" si="5"/>
        <v>0.75</v>
      </c>
    </row>
    <row r="31" spans="1:11" x14ac:dyDescent="0.25">
      <c r="A31" s="3"/>
      <c r="B31" s="1"/>
      <c r="C31" s="1"/>
      <c r="D31" s="4"/>
      <c r="E31" s="4"/>
      <c r="G31" s="3"/>
      <c r="H31" s="1"/>
      <c r="I31" s="1"/>
      <c r="J31" s="4"/>
      <c r="K31" s="4"/>
    </row>
    <row r="32" spans="1:11" x14ac:dyDescent="0.25">
      <c r="A32" s="3"/>
      <c r="B32" s="1"/>
      <c r="C32" s="1"/>
      <c r="D32" s="4"/>
      <c r="E32" s="4"/>
      <c r="G32" s="3"/>
      <c r="H32" s="1"/>
      <c r="I32" s="1"/>
      <c r="J32" s="4"/>
      <c r="K32" s="4"/>
    </row>
    <row r="33" spans="1:11" ht="18.75" x14ac:dyDescent="0.25">
      <c r="A33" s="46" t="s">
        <v>12</v>
      </c>
      <c r="B33" s="47"/>
      <c r="C33" s="47"/>
      <c r="D33" s="48"/>
      <c r="E33" s="11">
        <f>SUM(E27:E32)</f>
        <v>15.041248</v>
      </c>
      <c r="G33" s="46" t="s">
        <v>12</v>
      </c>
      <c r="H33" s="47"/>
      <c r="I33" s="47"/>
      <c r="J33" s="48"/>
      <c r="K33" s="11">
        <f>SUM(K27:K32)</f>
        <v>18.426559999999998</v>
      </c>
    </row>
    <row r="34" spans="1:11" ht="18.75" x14ac:dyDescent="0.25">
      <c r="A34" s="10"/>
      <c r="B34" s="10"/>
      <c r="C34" s="10"/>
      <c r="D34" s="11"/>
      <c r="E34" s="11"/>
      <c r="G34" s="10"/>
      <c r="H34" s="10"/>
      <c r="I34" s="10"/>
      <c r="J34" s="11"/>
      <c r="K34" s="11"/>
    </row>
    <row r="35" spans="1:11" x14ac:dyDescent="0.25">
      <c r="A35" s="3" t="s">
        <v>142</v>
      </c>
      <c r="B35" s="3"/>
      <c r="C35" s="1"/>
      <c r="D35" s="4"/>
      <c r="E35" s="4">
        <f>E42*4%</f>
        <v>2.66</v>
      </c>
      <c r="G35" s="3" t="s">
        <v>142</v>
      </c>
      <c r="H35" s="3"/>
      <c r="I35" s="1"/>
      <c r="J35" s="4"/>
      <c r="K35" s="4">
        <f>K42*4%</f>
        <v>3.3239999999999998</v>
      </c>
    </row>
    <row r="36" spans="1:11" x14ac:dyDescent="0.25">
      <c r="A36" s="3"/>
      <c r="B36" s="3"/>
      <c r="C36" s="1"/>
      <c r="D36" s="4"/>
      <c r="E36" s="4">
        <f t="shared" ref="E36" si="6">B36*D36</f>
        <v>0</v>
      </c>
      <c r="G36" s="3"/>
      <c r="H36" s="3"/>
      <c r="I36" s="1"/>
      <c r="J36" s="4"/>
      <c r="K36" s="4">
        <f t="shared" ref="K36" si="7">H36*J36</f>
        <v>0</v>
      </c>
    </row>
    <row r="37" spans="1:11" x14ac:dyDescent="0.25">
      <c r="A37" s="3"/>
      <c r="B37" s="3"/>
      <c r="C37" s="1"/>
      <c r="D37" s="4"/>
      <c r="E37" s="4"/>
      <c r="G37" s="3"/>
      <c r="H37" s="3"/>
      <c r="I37" s="1"/>
      <c r="J37" s="4"/>
      <c r="K37" s="4"/>
    </row>
    <row r="38" spans="1:11" ht="18.75" x14ac:dyDescent="0.25">
      <c r="A38" s="46" t="s">
        <v>15</v>
      </c>
      <c r="B38" s="47"/>
      <c r="C38" s="47"/>
      <c r="D38" s="48"/>
      <c r="E38" s="11">
        <f>SUM(E35:E37)</f>
        <v>2.66</v>
      </c>
      <c r="G38" s="46" t="s">
        <v>15</v>
      </c>
      <c r="H38" s="47"/>
      <c r="I38" s="47"/>
      <c r="J38" s="48"/>
      <c r="K38" s="11">
        <f>SUM(K35:K37)</f>
        <v>3.3239999999999998</v>
      </c>
    </row>
    <row r="39" spans="1:11" ht="15.75" x14ac:dyDescent="0.25">
      <c r="A39" s="49" t="s">
        <v>139</v>
      </c>
      <c r="B39" s="50"/>
      <c r="C39" s="50"/>
      <c r="D39" s="51"/>
      <c r="E39" s="13">
        <f>SUM(E38,E33)*61%</f>
        <v>10.79776128</v>
      </c>
      <c r="G39" s="49" t="s">
        <v>139</v>
      </c>
      <c r="H39" s="50"/>
      <c r="I39" s="50"/>
      <c r="J39" s="51"/>
      <c r="K39" s="13">
        <f>SUM(K38,K33)*61%</f>
        <v>13.267841600000001</v>
      </c>
    </row>
    <row r="40" spans="1:11" ht="18.75" x14ac:dyDescent="0.25">
      <c r="A40" s="46" t="s">
        <v>14</v>
      </c>
      <c r="B40" s="47"/>
      <c r="C40" s="47"/>
      <c r="D40" s="48"/>
      <c r="E40" s="11">
        <f>SUM(E39,E38,E33)</f>
        <v>28.499009279999999</v>
      </c>
      <c r="G40" s="46" t="s">
        <v>14</v>
      </c>
      <c r="H40" s="47"/>
      <c r="I40" s="47"/>
      <c r="J40" s="48"/>
      <c r="K40" s="11">
        <f>SUM(K39,K38,K33)</f>
        <v>35.018401600000004</v>
      </c>
    </row>
    <row r="41" spans="1:11" ht="15.75" x14ac:dyDescent="0.25">
      <c r="A41" s="52" t="s">
        <v>16</v>
      </c>
      <c r="B41" s="53"/>
      <c r="C41" s="53"/>
      <c r="D41" s="54"/>
      <c r="E41" s="25">
        <f>(E42-E40)/E40</f>
        <v>1.3334144477319883</v>
      </c>
      <c r="G41" s="52" t="s">
        <v>16</v>
      </c>
      <c r="H41" s="53"/>
      <c r="I41" s="53"/>
      <c r="J41" s="54"/>
      <c r="K41" s="25">
        <f>(K42-K40)/K40</f>
        <v>1.373038065792243</v>
      </c>
    </row>
    <row r="42" spans="1:11" ht="18.75" x14ac:dyDescent="0.25">
      <c r="A42" s="44" t="s">
        <v>17</v>
      </c>
      <c r="B42" s="44"/>
      <c r="C42" s="44"/>
      <c r="D42" s="44"/>
      <c r="E42" s="11">
        <v>66.5</v>
      </c>
      <c r="G42" s="44" t="s">
        <v>17</v>
      </c>
      <c r="H42" s="44"/>
      <c r="I42" s="44"/>
      <c r="J42" s="44"/>
      <c r="K42" s="11">
        <v>83.1</v>
      </c>
    </row>
  </sheetData>
  <mergeCells count="28">
    <mergeCell ref="G17:J17"/>
    <mergeCell ref="A10:D10"/>
    <mergeCell ref="A15:D15"/>
    <mergeCell ref="A16:D16"/>
    <mergeCell ref="A17:D17"/>
    <mergeCell ref="A2:E3"/>
    <mergeCell ref="G2:K3"/>
    <mergeCell ref="G10:J10"/>
    <mergeCell ref="G15:J15"/>
    <mergeCell ref="G16:J16"/>
    <mergeCell ref="G18:J18"/>
    <mergeCell ref="G19:J19"/>
    <mergeCell ref="A25:E26"/>
    <mergeCell ref="A33:D33"/>
    <mergeCell ref="A38:D38"/>
    <mergeCell ref="A18:D18"/>
    <mergeCell ref="A19:D19"/>
    <mergeCell ref="A40:D40"/>
    <mergeCell ref="A41:D41"/>
    <mergeCell ref="A42:D42"/>
    <mergeCell ref="G25:K26"/>
    <mergeCell ref="G33:J33"/>
    <mergeCell ref="G38:J38"/>
    <mergeCell ref="G39:J39"/>
    <mergeCell ref="G40:J40"/>
    <mergeCell ref="G41:J41"/>
    <mergeCell ref="G42:J42"/>
    <mergeCell ref="A39:D3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50</vt:i4>
      </vt:variant>
    </vt:vector>
  </HeadingPairs>
  <TitlesOfParts>
    <vt:vector size="50" baseType="lpstr">
      <vt:lpstr>375-ADA</vt:lpstr>
      <vt:lpstr>807-ACSA</vt:lpstr>
      <vt:lpstr>374-ABIGAIL</vt:lpstr>
      <vt:lpstr>557-BEATRIZ</vt:lpstr>
      <vt:lpstr>378-CHLOE</vt:lpstr>
      <vt:lpstr>615-CHARLOTTE</vt:lpstr>
      <vt:lpstr>345-CECILIA</vt:lpstr>
      <vt:lpstr>343-DANI</vt:lpstr>
      <vt:lpstr>430-DIANA</vt:lpstr>
      <vt:lpstr>558-ESTER</vt:lpstr>
      <vt:lpstr>641-ELISAMA</vt:lpstr>
      <vt:lpstr>390-FRANCIS-NOEMI</vt:lpstr>
      <vt:lpstr>610 GLAMOUR</vt:lpstr>
      <vt:lpstr>300-HELOISA</vt:lpstr>
      <vt:lpstr>640-HANANI</vt:lpstr>
      <vt:lpstr>400-ISABEL</vt:lpstr>
      <vt:lpstr>377-LIS</vt:lpstr>
      <vt:lpstr>346-LIA</vt:lpstr>
      <vt:lpstr>376-MARIAH</vt:lpstr>
      <vt:lpstr>372-MARTA</vt:lpstr>
      <vt:lpstr>388-MAITÊ</vt:lpstr>
      <vt:lpstr>373-MANUELA</vt:lpstr>
      <vt:lpstr>383-CLINIC</vt:lpstr>
      <vt:lpstr>559-NOAH</vt:lpstr>
      <vt:lpstr>391-RUTE</vt:lpstr>
      <vt:lpstr>605-STYLE</vt:lpstr>
      <vt:lpstr>342-SARAH</vt:lpstr>
      <vt:lpstr>389-THAMAR</vt:lpstr>
      <vt:lpstr>644-BENJAMIN</vt:lpstr>
      <vt:lpstr>340-BERNARDO</vt:lpstr>
      <vt:lpstr>341-CALEB</vt:lpstr>
      <vt:lpstr>643-HEITOR</vt:lpstr>
      <vt:lpstr>349-ISAC</vt:lpstr>
      <vt:lpstr>371-MANOEL</vt:lpstr>
      <vt:lpstr>522-MACACAO</vt:lpstr>
      <vt:lpstr>800-BENICIO</vt:lpstr>
      <vt:lpstr>700-CLARA</vt:lpstr>
      <vt:lpstr>080-SCRUB LOREN</vt:lpstr>
      <vt:lpstr>090- SCRUB LORENZO</vt:lpstr>
      <vt:lpstr>370-PAULO</vt:lpstr>
      <vt:lpstr>991-SAMUEL</vt:lpstr>
      <vt:lpstr>065-SCRUB CONFY</vt:lpstr>
      <vt:lpstr>060-SCRUB</vt:lpstr>
      <vt:lpstr>avental</vt:lpstr>
      <vt:lpstr>355-DOLMA</vt:lpstr>
      <vt:lpstr>GORRO</vt:lpstr>
      <vt:lpstr>GORRO SHINE</vt:lpstr>
      <vt:lpstr>TURBANTE</vt:lpstr>
      <vt:lpstr>TOUCA-ROBE</vt:lpstr>
      <vt:lpstr>guardanapo HOme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dana-pc</dc:creator>
  <cp:lastModifiedBy>Dana Jalecos</cp:lastModifiedBy>
  <cp:lastPrinted>2023-05-16T19:47:04Z</cp:lastPrinted>
  <dcterms:created xsi:type="dcterms:W3CDTF">2020-08-26T13:08:31Z</dcterms:created>
  <dcterms:modified xsi:type="dcterms:W3CDTF">2026-04-24T20:34:56Z</dcterms:modified>
</cp:coreProperties>
</file>